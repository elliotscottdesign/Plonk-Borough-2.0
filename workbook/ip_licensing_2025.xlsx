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nline SKUs 2025" sheetId="2" state="visible" r:id="rId2"/>
    <sheet name="Office SKUs 2025" sheetId="3" state="visible" r:id="rId3"/>
    <sheet name="Monthly 2025" sheetId="4" state="visible" r:id="rId4"/>
    <sheet name="Mode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0"/>
    <numFmt numFmtId="165" formatCode="£#,##0.000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4FC3F7"/>
      <sz val="13"/>
    </font>
    <font>
      <b val="1"/>
      <color rgb="000A0A0F"/>
      <sz val="10"/>
    </font>
    <font>
      <b val="1"/>
      <color rgb="000A0A0F"/>
    </font>
    <font>
      <b val="1"/>
      <color rgb="009CA3AF"/>
      <sz val="13"/>
    </font>
    <font>
      <b val="1"/>
      <color rgb="00C9A84C"/>
      <sz val="13"/>
    </font>
    <font>
      <b val="1"/>
      <color rgb="00C9A84C"/>
      <sz val="14"/>
    </font>
    <font>
      <b val="1"/>
      <color rgb="00C9A84C"/>
    </font>
    <font>
      <i val="1"/>
      <color rgb="00888888"/>
    </font>
    <font>
      <color rgb="00000000"/>
      <sz val="11"/>
    </font>
    <font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C9A84C"/>
      </patternFill>
    </fill>
    <fill>
      <patternFill patternType="solid">
        <fgColor rgb="00E8C96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IP &amp; LICENSING — BOROUGH 2025 (split by channel)</t>
        </is>
      </c>
    </row>
    <row r="2">
      <c r="A2" s="2" t="inlineStr"/>
    </row>
    <row r="3">
      <c r="A3" s="2" t="inlineStr">
        <is>
          <t>Source: 'ALL DMN 2025 transactions ALL SITES.xlsx' — filtered to Borough venue only, split by Status.</t>
        </is>
      </c>
    </row>
    <row r="4">
      <c r="A4" s="2" t="inlineStr"/>
    </row>
    <row r="5">
      <c r="A5" s="3" t="inlineStr">
        <is>
          <t>KEY FINDING:</t>
        </is>
      </c>
    </row>
    <row r="6">
      <c r="A6" s="2" t="inlineStr">
        <is>
          <t xml:space="preserve">  • ONLINE (Status = complete):  15,188 tickets  £ 211,163.70   ← revenue through online system</t>
        </is>
      </c>
    </row>
    <row r="7">
      <c r="A7" s="2" t="inlineStr">
        <is>
          <t xml:space="preserve">  • OFFICE (Status = external):    4,512 tickets  £       0.00   ← settled at venue till (£0 online revenue)</t>
        </is>
      </c>
    </row>
    <row r="8">
      <c r="A8" s="2" t="inlineStr">
        <is>
          <t xml:space="preserve">  • Online = 77.1% of ticket volume but 100% of revenue captured by the online system.</t>
        </is>
      </c>
    </row>
    <row r="9">
      <c r="A9" s="2" t="inlineStr"/>
    </row>
    <row r="10">
      <c r="A10" s="3" t="inlineStr">
        <is>
          <t>UNDER THE NEW MODEL:</t>
        </is>
      </c>
    </row>
    <row r="11">
      <c r="A11" s="2" t="inlineStr">
        <is>
          <t xml:space="preserve">  • Office/bookings-team channel goes away. Those customers either self-serve online (→ shifts into revenue channel)</t>
        </is>
      </c>
    </row>
    <row r="12">
      <c r="A12" s="2" t="inlineStr">
        <is>
          <t xml:space="preserve">    or contact the venue directly (venue handles, no Holding Co involvement).</t>
        </is>
      </c>
    </row>
    <row r="13">
      <c r="A13" s="2" t="inlineStr">
        <is>
          <t xml:space="preserve">  • Holding Co revenue = Booking Fee (10% on top) + Commission % (from venue gross). Online channel only.</t>
        </is>
      </c>
    </row>
    <row r="14">
      <c r="A14" s="2" t="inlineStr"/>
    </row>
    <row r="15">
      <c r="A15" s="3" t="inlineStr">
        <is>
          <t>STRUCTURAL ASSUMPTIONS (v1):</t>
        </is>
      </c>
    </row>
    <row r="16">
      <c r="A16" s="2" t="inlineStr">
        <is>
          <t xml:space="preserve">  • Booking fee: 10% added ON TOP of ticket at checkout. Kept by Holding Co. Funds online funnel.</t>
        </is>
      </c>
    </row>
    <row r="17">
      <c r="A17" s="2" t="inlineStr">
        <is>
          <t xml:space="preserve">  • Commission: SEPARATE % taken from VENUE on gross ticket sales. Holding Co's per-venue licensing fee.</t>
        </is>
      </c>
    </row>
    <row r="18">
      <c r="A18" s="2" t="inlineStr">
        <is>
          <t xml:space="preserve">  • Token value: £0.325 per arcade token, NO VAT. Each 'Golf + 4 Tokens' SKU bundles 4 tokens (£1.30/ticket).</t>
        </is>
      </c>
    </row>
    <row r="19">
      <c r="A19" s="2" t="inlineStr">
        <is>
          <t xml:space="preserve">  • Under new model tokens move to in-store TILL only — online SKUs will be re-priced to strip the token component.</t>
        </is>
      </c>
    </row>
    <row r="20">
      <c r="A20" s="2" t="inlineStr"/>
    </row>
    <row r="21">
      <c r="A21" s="3" t="inlineStr">
        <is>
          <t>SHEETS:</t>
        </is>
      </c>
    </row>
    <row r="22">
      <c r="A22" s="2" t="inlineStr">
        <is>
          <t xml:space="preserve">  • Online SKUs 2025 — all online-portal tickets by SKU with token/booking-fee/revenue columns.</t>
        </is>
      </c>
    </row>
    <row r="23">
      <c r="A23" s="2" t="inlineStr">
        <is>
          <t xml:space="preserve">  • Office SKUs 2025 — same structure for external/till bookings (revenue = £0 by system design).</t>
        </is>
      </c>
    </row>
    <row r="24">
      <c r="A24" s="2" t="inlineStr">
        <is>
          <t xml:space="preserve">  • Monthly 2025 — per-month online and office splits.</t>
        </is>
      </c>
    </row>
    <row r="25">
      <c r="A25" s="2" t="inlineStr">
        <is>
          <t xml:space="preserve">  • Model — interactive inputs (column B) driving Holding Co P&amp;L and venue net.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SECTION A · ONLINE PORTAL BOOKINGS (Status = complete) — Borough 2025</t>
        </is>
      </c>
    </row>
    <row r="2" ht="38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Gross Revenue 2025</t>
        </is>
      </c>
      <c r="J2" s="5" t="inlineStr">
        <is>
          <t>Booking Fees 2025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9646</v>
      </c>
      <c r="I3" s="6" t="n">
        <v>153995.1</v>
      </c>
      <c r="J3" s="6" t="n">
        <v>15399.51</v>
      </c>
      <c r="K3" s="6" t="n">
        <v>12539.8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2932</v>
      </c>
      <c r="I4" s="6" t="n">
        <v>36485</v>
      </c>
      <c r="J4" s="6" t="n">
        <v>3648.5</v>
      </c>
      <c r="K4" s="6" t="n">
        <v>3811.6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970</v>
      </c>
      <c r="I5" s="6" t="n">
        <v>9677</v>
      </c>
      <c r="J5" s="6" t="n">
        <v>967.7</v>
      </c>
      <c r="K5" s="6" t="n">
        <v>1261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0</v>
      </c>
      <c r="I6" s="6" t="n">
        <v>0</v>
      </c>
      <c r="J6" s="6" t="n">
        <v>0</v>
      </c>
      <c r="K6" s="6" t="n">
        <v>0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393</v>
      </c>
      <c r="I7" s="6" t="n">
        <v>4713.6</v>
      </c>
      <c r="J7" s="6" t="n">
        <v>471.36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788</v>
      </c>
      <c r="I8" s="6" t="n">
        <v>3940</v>
      </c>
      <c r="J8" s="6" t="n">
        <v>394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422</v>
      </c>
      <c r="I9" s="6" t="n">
        <v>2108</v>
      </c>
      <c r="J9" s="6" t="n">
        <v>210.8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5</v>
      </c>
      <c r="I10" s="6" t="n">
        <v>40</v>
      </c>
      <c r="J10" s="6" t="n">
        <v>4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31</v>
      </c>
      <c r="I11" s="6" t="n">
        <v>155</v>
      </c>
      <c r="J11" s="6" t="n">
        <v>15.5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1</v>
      </c>
      <c r="I12" s="6" t="n">
        <v>50</v>
      </c>
      <c r="J12" s="6" t="n">
        <v>5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15188</v>
      </c>
      <c r="I13" s="11" t="n">
        <v>211163.7</v>
      </c>
      <c r="J13" s="11" t="n">
        <v>21116.37</v>
      </c>
      <c r="K13" s="11" t="n">
        <v>17612.4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40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6" customWidth="1" min="10" max="10"/>
    <col width="16" customWidth="1" min="11" max="11"/>
  </cols>
  <sheetData>
    <row r="1">
      <c r="A1" s="12" t="inlineStr">
        <is>
          <t>SECTION B · OFFICE / EXTERNAL BOOKINGS (Status = external) — Borough 2025 · Revenue £0 (settled at venue till)</t>
        </is>
      </c>
    </row>
    <row r="2" ht="38" customHeight="1">
      <c r="A2" s="5" t="inlineStr">
        <is>
          <t>SKU</t>
        </is>
      </c>
      <c r="B2" s="5" t="inlineStr">
        <is>
          <t>Tokens</t>
        </is>
      </c>
      <c r="C2" s="5" t="inlineStr">
        <is>
          <t>Gross Price</t>
        </is>
      </c>
      <c r="D2" s="5" t="inlineStr">
        <is>
          <t>Token Value
(£0.325/tkn, no VAT)</t>
        </is>
      </c>
      <c r="E2" s="5" t="inlineStr">
        <is>
          <t>Booking Fee
(10% of price)</t>
        </is>
      </c>
      <c r="F2" s="5" t="inlineStr">
        <is>
          <t>Customer Pays
(price + booking fee)</t>
        </is>
      </c>
      <c r="G2" s="5" t="inlineStr">
        <is>
          <t>Golf-only Price
(price − token value)</t>
        </is>
      </c>
      <c r="H2" s="5" t="inlineStr">
        <is>
          <t>Units Sold 2025</t>
        </is>
      </c>
      <c r="I2" s="5" t="inlineStr">
        <is>
          <t>Gross Revenue 2025</t>
        </is>
      </c>
      <c r="J2" s="5" t="inlineStr">
        <is>
          <t>Booking Fees 2025</t>
        </is>
      </c>
      <c r="K2" s="5" t="inlineStr">
        <is>
          <t>Token Cost 2025</t>
        </is>
      </c>
    </row>
    <row r="3">
      <c r="A3" t="inlineStr">
        <is>
          <t>Adult — Golf + 4 Tokens (Peak)</t>
        </is>
      </c>
      <c r="B3" t="n">
        <v>4</v>
      </c>
      <c r="C3" s="6" t="n">
        <v>16</v>
      </c>
      <c r="D3" s="7" t="n">
        <v>1.3</v>
      </c>
      <c r="E3" s="7" t="n">
        <v>1.6</v>
      </c>
      <c r="F3" s="7" t="n">
        <v>17.6</v>
      </c>
      <c r="G3" s="7" t="n">
        <v>14.7</v>
      </c>
      <c r="H3" s="8" t="n">
        <v>1977</v>
      </c>
      <c r="I3" s="6" t="n">
        <v>0</v>
      </c>
      <c r="J3" s="6" t="n">
        <v>0</v>
      </c>
      <c r="K3" s="6" t="n">
        <v>2570.1</v>
      </c>
    </row>
    <row r="4">
      <c r="A4" t="inlineStr">
        <is>
          <t>Off-Peak Adult — Golf + 4 Tokens</t>
        </is>
      </c>
      <c r="B4" t="n">
        <v>4</v>
      </c>
      <c r="C4" s="6" t="n">
        <v>12.5</v>
      </c>
      <c r="D4" s="7" t="n">
        <v>1.3</v>
      </c>
      <c r="E4" s="7" t="n">
        <v>1.25</v>
      </c>
      <c r="F4" s="7" t="n">
        <v>13.75</v>
      </c>
      <c r="G4" s="7" t="n">
        <v>11.2</v>
      </c>
      <c r="H4" s="8" t="n">
        <v>1868</v>
      </c>
      <c r="I4" s="6" t="n">
        <v>0</v>
      </c>
      <c r="J4" s="6" t="n">
        <v>0</v>
      </c>
      <c r="K4" s="6" t="n">
        <v>2428.4</v>
      </c>
    </row>
    <row r="5">
      <c r="A5" t="inlineStr">
        <is>
          <t>Under 18s — Golf + 4 Tokens</t>
        </is>
      </c>
      <c r="B5" t="n">
        <v>4</v>
      </c>
      <c r="C5" s="6" t="n">
        <v>10</v>
      </c>
      <c r="D5" s="7" t="n">
        <v>1.3</v>
      </c>
      <c r="E5" s="7" t="n">
        <v>1</v>
      </c>
      <c r="F5" s="7" t="n">
        <v>11</v>
      </c>
      <c r="G5" s="7" t="n">
        <v>8.699999999999999</v>
      </c>
      <c r="H5" s="8" t="n">
        <v>268</v>
      </c>
      <c r="I5" s="6" t="n">
        <v>0</v>
      </c>
      <c r="J5" s="6" t="n">
        <v>0</v>
      </c>
      <c r="K5" s="6" t="n">
        <v>348.4</v>
      </c>
    </row>
    <row r="6">
      <c r="A6" t="inlineStr">
        <is>
          <t>Off-Peak Under 18s — Golf + 4 Tokens</t>
        </is>
      </c>
      <c r="B6" t="n">
        <v>4</v>
      </c>
      <c r="C6" s="6" t="n">
        <v>10</v>
      </c>
      <c r="D6" s="7" t="n">
        <v>1.3</v>
      </c>
      <c r="E6" s="7" t="n">
        <v>1</v>
      </c>
      <c r="F6" s="7" t="n">
        <v>11</v>
      </c>
      <c r="G6" s="7" t="n">
        <v>8.699999999999999</v>
      </c>
      <c r="H6" s="8" t="n">
        <v>8</v>
      </c>
      <c r="I6" s="6" t="n">
        <v>0</v>
      </c>
      <c r="J6" s="6" t="n">
        <v>0</v>
      </c>
      <c r="K6" s="6" t="n">
        <v>10.4</v>
      </c>
    </row>
    <row r="7">
      <c r="A7" t="inlineStr">
        <is>
          <t>Game &amp; Drink</t>
        </is>
      </c>
      <c r="B7" t="n">
        <v>0</v>
      </c>
      <c r="C7" s="6" t="n">
        <v>12</v>
      </c>
      <c r="D7" s="7" t="n">
        <v>0</v>
      </c>
      <c r="E7" s="7" t="n">
        <v>1.2</v>
      </c>
      <c r="F7" s="7" t="n">
        <v>13.2</v>
      </c>
      <c r="G7" s="7" t="n">
        <v>12</v>
      </c>
      <c r="H7" s="8" t="n">
        <v>276</v>
      </c>
      <c r="I7" s="6" t="n">
        <v>0</v>
      </c>
      <c r="J7" s="6" t="n">
        <v>0</v>
      </c>
      <c r="K7" s="6" t="n">
        <v>0</v>
      </c>
    </row>
    <row r="8">
      <c r="A8" t="inlineStr">
        <is>
          <t>Late Night Golf</t>
        </is>
      </c>
      <c r="B8" t="n">
        <v>0</v>
      </c>
      <c r="C8" s="6" t="n">
        <v>5</v>
      </c>
      <c r="D8" s="7" t="n">
        <v>0</v>
      </c>
      <c r="E8" s="7" t="n">
        <v>0.5</v>
      </c>
      <c r="F8" s="7" t="n">
        <v>5.5</v>
      </c>
      <c r="G8" s="7" t="n">
        <v>5</v>
      </c>
      <c r="H8" s="8" t="n">
        <v>12</v>
      </c>
      <c r="I8" s="6" t="n">
        <v>0</v>
      </c>
      <c r="J8" s="6" t="n">
        <v>0</v>
      </c>
      <c r="K8" s="6" t="n">
        <v>0</v>
      </c>
    </row>
    <row r="9">
      <c r="A9" t="inlineStr">
        <is>
          <t>Pool Table Reservation — 30 Mins</t>
        </is>
      </c>
      <c r="B9" t="n">
        <v>0</v>
      </c>
      <c r="C9" s="6" t="n">
        <v>5</v>
      </c>
      <c r="D9" s="7" t="n">
        <v>0</v>
      </c>
      <c r="E9" s="7" t="n">
        <v>0.5</v>
      </c>
      <c r="F9" s="7" t="n">
        <v>5.5</v>
      </c>
      <c r="G9" s="7" t="n">
        <v>5</v>
      </c>
      <c r="H9" s="8" t="n">
        <v>103</v>
      </c>
      <c r="I9" s="6" t="n">
        <v>0</v>
      </c>
      <c r="J9" s="6" t="n">
        <v>0</v>
      </c>
      <c r="K9" s="6" t="n">
        <v>0</v>
      </c>
    </row>
    <row r="10">
      <c r="A10" t="inlineStr">
        <is>
          <t>Doubles Pool Tournament</t>
        </is>
      </c>
      <c r="B10" t="n">
        <v>0</v>
      </c>
      <c r="C10" s="6" t="n">
        <v>5</v>
      </c>
      <c r="D10" s="7" t="n">
        <v>0</v>
      </c>
      <c r="E10" s="7" t="n">
        <v>0.5</v>
      </c>
      <c r="F10" s="7" t="n">
        <v>5.5</v>
      </c>
      <c r="G10" s="7" t="n">
        <v>5</v>
      </c>
      <c r="H10" s="8" t="n">
        <v>0</v>
      </c>
      <c r="I10" s="6" t="n">
        <v>0</v>
      </c>
      <c r="J10" s="6" t="n">
        <v>0</v>
      </c>
      <c r="K10" s="6" t="n">
        <v>0</v>
      </c>
    </row>
    <row r="11">
      <c r="A11" t="inlineStr">
        <is>
          <t>Extra Arcade Tokens (add-on)</t>
        </is>
      </c>
      <c r="B11" t="n">
        <v>0</v>
      </c>
      <c r="C11" s="6" t="n">
        <v>5</v>
      </c>
      <c r="D11" s="7" t="n">
        <v>0</v>
      </c>
      <c r="E11" s="7" t="n">
        <v>0.5</v>
      </c>
      <c r="F11" s="7" t="n">
        <v>5.5</v>
      </c>
      <c r="G11" s="7" t="n">
        <v>5</v>
      </c>
      <c r="H11" s="8" t="n">
        <v>0</v>
      </c>
      <c r="I11" s="6" t="n">
        <v>0</v>
      </c>
      <c r="J11" s="6" t="n">
        <v>0</v>
      </c>
      <c r="K11" s="6" t="n">
        <v>0</v>
      </c>
    </row>
    <row r="12">
      <c r="A12" t="inlineStr">
        <is>
          <t>Valentine's Day Deal</t>
        </is>
      </c>
      <c r="B12" t="n">
        <v>0</v>
      </c>
      <c r="C12" s="6" t="n">
        <v>50</v>
      </c>
      <c r="D12" s="7" t="n">
        <v>0</v>
      </c>
      <c r="E12" s="7" t="n">
        <v>5</v>
      </c>
      <c r="F12" s="7" t="n">
        <v>55</v>
      </c>
      <c r="G12" s="7" t="n">
        <v>50</v>
      </c>
      <c r="H12" s="8" t="n">
        <v>0</v>
      </c>
      <c r="I12" s="6" t="n">
        <v>0</v>
      </c>
      <c r="J12" s="6" t="n">
        <v>0</v>
      </c>
      <c r="K12" s="6" t="n">
        <v>0</v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9" t="n"/>
      <c r="G13" s="9" t="n"/>
      <c r="H13" s="10" t="n">
        <v>4512</v>
      </c>
      <c r="I13" s="11" t="n">
        <v>0</v>
      </c>
      <c r="J13" s="11" t="n">
        <v>0</v>
      </c>
      <c r="K13" s="11" t="n">
        <v>5357.3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8" customWidth="1" min="5" max="5"/>
  </cols>
  <sheetData>
    <row r="1">
      <c r="A1" s="13" t="inlineStr">
        <is>
          <t>MONTHLY CHANNEL SPLIT — Borough 2025</t>
        </is>
      </c>
    </row>
    <row r="2">
      <c r="A2" s="5" t="inlineStr">
        <is>
          <t>Month</t>
        </is>
      </c>
      <c r="B2" s="5" t="inlineStr">
        <is>
          <t>Online Qty</t>
        </is>
      </c>
      <c r="C2" s="5" t="inlineStr">
        <is>
          <t>Online Revenue</t>
        </is>
      </c>
      <c r="D2" s="5" t="inlineStr">
        <is>
          <t>Office Qty</t>
        </is>
      </c>
      <c r="E2" s="5" t="inlineStr">
        <is>
          <t>Office Revenue</t>
        </is>
      </c>
    </row>
    <row r="3">
      <c r="A3" t="inlineStr">
        <is>
          <t>Jan</t>
        </is>
      </c>
      <c r="B3" s="8" t="n">
        <v>1333</v>
      </c>
      <c r="C3" s="6" t="n">
        <v>19589.3</v>
      </c>
      <c r="D3" s="8" t="n">
        <v>298</v>
      </c>
      <c r="E3" s="6" t="n">
        <v>0</v>
      </c>
    </row>
    <row r="4">
      <c r="A4" t="inlineStr">
        <is>
          <t>Feb</t>
        </is>
      </c>
      <c r="B4" s="8" t="n">
        <v>1525</v>
      </c>
      <c r="C4" s="6" t="n">
        <v>22026.7</v>
      </c>
      <c r="D4" s="8" t="n">
        <v>183</v>
      </c>
      <c r="E4" s="6" t="n">
        <v>0</v>
      </c>
    </row>
    <row r="5">
      <c r="A5" t="inlineStr">
        <is>
          <t>Mar</t>
        </is>
      </c>
      <c r="B5" s="8" t="n">
        <v>1214</v>
      </c>
      <c r="C5" s="6" t="n">
        <v>17373.2</v>
      </c>
      <c r="D5" s="8" t="n">
        <v>349</v>
      </c>
      <c r="E5" s="6" t="n">
        <v>0</v>
      </c>
    </row>
    <row r="6">
      <c r="A6" t="inlineStr">
        <is>
          <t>Apr</t>
        </is>
      </c>
      <c r="B6" s="8" t="n">
        <v>1141</v>
      </c>
      <c r="C6" s="6" t="n">
        <v>15215.8</v>
      </c>
      <c r="D6" s="8" t="n">
        <v>353</v>
      </c>
      <c r="E6" s="6" t="n">
        <v>0</v>
      </c>
    </row>
    <row r="7">
      <c r="A7" t="inlineStr">
        <is>
          <t>May</t>
        </is>
      </c>
      <c r="B7" s="8" t="n">
        <v>1075</v>
      </c>
      <c r="C7" s="6" t="n">
        <v>15355.5</v>
      </c>
      <c r="D7" s="8" t="n">
        <v>295</v>
      </c>
      <c r="E7" s="6" t="n">
        <v>0</v>
      </c>
    </row>
    <row r="8">
      <c r="A8" t="inlineStr">
        <is>
          <t>Jun</t>
        </is>
      </c>
      <c r="B8" s="8" t="n">
        <v>908</v>
      </c>
      <c r="C8" s="6" t="n">
        <v>12648.7</v>
      </c>
      <c r="D8" s="8" t="n">
        <v>391</v>
      </c>
      <c r="E8" s="6" t="n">
        <v>0</v>
      </c>
    </row>
    <row r="9">
      <c r="A9" t="inlineStr">
        <is>
          <t>Jul</t>
        </is>
      </c>
      <c r="B9" s="8" t="n">
        <v>1052</v>
      </c>
      <c r="C9" s="6" t="n">
        <v>14498.8</v>
      </c>
      <c r="D9" s="8" t="n">
        <v>423</v>
      </c>
      <c r="E9" s="6" t="n">
        <v>0</v>
      </c>
    </row>
    <row r="10">
      <c r="A10" t="inlineStr">
        <is>
          <t>Aug</t>
        </is>
      </c>
      <c r="B10" s="8" t="n">
        <v>1380</v>
      </c>
      <c r="C10" s="6" t="n">
        <v>18644.95</v>
      </c>
      <c r="D10" s="8" t="n">
        <v>167</v>
      </c>
      <c r="E10" s="6" t="n">
        <v>0</v>
      </c>
    </row>
    <row r="11">
      <c r="A11" t="inlineStr">
        <is>
          <t>Sep</t>
        </is>
      </c>
      <c r="B11" s="8" t="n">
        <v>1126</v>
      </c>
      <c r="C11" s="6" t="n">
        <v>15127.7</v>
      </c>
      <c r="D11" s="8" t="n">
        <v>351</v>
      </c>
      <c r="E11" s="6" t="n">
        <v>0</v>
      </c>
    </row>
    <row r="12">
      <c r="A12" t="inlineStr">
        <is>
          <t>Oct</t>
        </is>
      </c>
      <c r="B12" s="8" t="n">
        <v>1519</v>
      </c>
      <c r="C12" s="6" t="n">
        <v>20779</v>
      </c>
      <c r="D12" s="8" t="n">
        <v>274</v>
      </c>
      <c r="E12" s="6" t="n">
        <v>0</v>
      </c>
    </row>
    <row r="13">
      <c r="A13" t="inlineStr">
        <is>
          <t>Nov</t>
        </is>
      </c>
      <c r="B13" s="8" t="n">
        <v>1319</v>
      </c>
      <c r="C13" s="6" t="n">
        <v>18428.25</v>
      </c>
      <c r="D13" s="8" t="n">
        <v>470</v>
      </c>
      <c r="E13" s="6" t="n">
        <v>0</v>
      </c>
    </row>
    <row r="14">
      <c r="A14" t="inlineStr">
        <is>
          <t>Dec</t>
        </is>
      </c>
      <c r="B14" s="8" t="n">
        <v>1596</v>
      </c>
      <c r="C14" s="6" t="n">
        <v>21475.8</v>
      </c>
      <c r="D14" s="8" t="n">
        <v>958</v>
      </c>
      <c r="E14" s="6" t="n">
        <v>0</v>
      </c>
    </row>
    <row r="15">
      <c r="A15" s="9" t="inlineStr">
        <is>
          <t>TOTAL</t>
        </is>
      </c>
      <c r="B15" s="10" t="n">
        <v>15188</v>
      </c>
      <c r="C15" s="11" t="n">
        <v>211163.7</v>
      </c>
      <c r="D15" s="10" t="n">
        <v>4512</v>
      </c>
      <c r="E15" s="11" t="n">
        <v>0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</cols>
  <sheetData>
    <row r="1">
      <c r="A1" s="1" t="inlineStr">
        <is>
          <t>HOLDING CO × VENUE — COMMISSION MODEL (online only)</t>
        </is>
      </c>
    </row>
    <row r="3">
      <c r="A3" s="14" t="inlineStr">
        <is>
          <t>INPUTS</t>
        </is>
      </c>
    </row>
    <row r="4">
      <c r="A4" t="inlineStr">
        <is>
          <t>Gross online sales baseline (2025)</t>
        </is>
      </c>
      <c r="B4" s="6" t="n">
        <v>211163.7</v>
      </c>
      <c r="C4" s="15" t="inlineStr">
        <is>
          <t>from Online SKUs sheet</t>
        </is>
      </c>
    </row>
    <row r="5">
      <c r="A5" t="inlineStr">
        <is>
          <t>Volume uplift %</t>
        </is>
      </c>
      <c r="B5" s="16" t="n">
        <v>0</v>
      </c>
      <c r="C5" s="15" t="inlineStr">
        <is>
          <t>test scenarios</t>
        </is>
      </c>
    </row>
    <row r="6">
      <c r="A6" t="inlineStr">
        <is>
          <t>Commission % (from venue)</t>
        </is>
      </c>
      <c r="B6" s="16" t="n">
        <v>0.1</v>
      </c>
      <c r="C6" s="15" t="inlineStr">
        <is>
          <t>slider default 10%</t>
        </is>
      </c>
    </row>
    <row r="7">
      <c r="A7" t="inlineStr">
        <is>
          <t>Booking fee % (on top, customer pays)</t>
        </is>
      </c>
      <c r="B7" s="16" t="n">
        <v>0.1</v>
      </c>
      <c r="C7" s="15" t="inlineStr">
        <is>
          <t>locked — online funnel cost</t>
        </is>
      </c>
    </row>
    <row r="8">
      <c r="A8" t="inlineStr">
        <is>
          <t>Maintenance (12 × £250)</t>
        </is>
      </c>
      <c r="B8" s="6" t="n">
        <v>3000</v>
      </c>
      <c r="C8" s="15" t="inlineStr">
        <is>
          <t>fixed</t>
        </is>
      </c>
    </row>
    <row r="9">
      <c r="A9" t="inlineStr">
        <is>
          <t>Website + booking system</t>
        </is>
      </c>
      <c r="B9" s="6" t="n">
        <v>6000</v>
      </c>
      <c r="C9" s="15" t="inlineStr">
        <is>
          <t>slider</t>
        </is>
      </c>
    </row>
    <row r="10">
      <c r="A10" t="inlineStr">
        <is>
          <t>SEO (non-venue-specific)</t>
        </is>
      </c>
      <c r="B10" s="6" t="n">
        <v>6000</v>
      </c>
      <c r="C10" s="15" t="inlineStr">
        <is>
          <t>slider</t>
        </is>
      </c>
    </row>
    <row r="11">
      <c r="A11" t="inlineStr">
        <is>
          <t>Chatbot / AI booking</t>
        </is>
      </c>
      <c r="B11" s="6" t="n">
        <v>1200</v>
      </c>
      <c r="C11" s="15" t="inlineStr">
        <is>
          <t>slider</t>
        </is>
      </c>
    </row>
    <row r="13">
      <c r="A13" s="14" t="inlineStr">
        <is>
          <t>OUTPUTS</t>
        </is>
      </c>
    </row>
    <row r="14">
      <c r="A14" t="inlineStr">
        <is>
          <t>Gross online sales (adjusted)</t>
        </is>
      </c>
      <c r="B14" s="6">
        <f>B4*(1+B5)</f>
        <v/>
      </c>
    </row>
    <row r="15">
      <c r="A15" t="inlineStr">
        <is>
          <t>Booking fees collected</t>
        </is>
      </c>
      <c r="B15" s="6">
        <f>B14*B7</f>
        <v/>
      </c>
    </row>
    <row r="16">
      <c r="A16" t="inlineStr">
        <is>
          <t>Commission from venue</t>
        </is>
      </c>
      <c r="B16" s="6">
        <f>B14*B6</f>
        <v/>
      </c>
    </row>
    <row r="17">
      <c r="A17" t="inlineStr">
        <is>
          <t>Holding Co revenue</t>
        </is>
      </c>
      <c r="B17" s="6">
        <f>B15+B16</f>
        <v/>
      </c>
    </row>
    <row r="18">
      <c r="A18" t="inlineStr">
        <is>
          <t>Total Holding Co costs</t>
        </is>
      </c>
      <c r="B18" s="6">
        <f>B8+B9+B10+B11</f>
        <v/>
      </c>
    </row>
    <row r="19">
      <c r="A19" t="inlineStr">
        <is>
          <t>NET to Holding Co</t>
        </is>
      </c>
      <c r="B19" s="6">
        <f>B17-B18</f>
        <v/>
      </c>
    </row>
    <row r="20">
      <c r="A20" t="inlineStr">
        <is>
          <t>Token cost (venue COGS)</t>
        </is>
      </c>
      <c r="B20" s="6">
        <f>(1+B5)*17612.4</f>
        <v/>
      </c>
    </row>
    <row r="21">
      <c r="A21" t="inlineStr">
        <is>
          <t>NET to venue (online)</t>
        </is>
      </c>
      <c r="B21" s="6">
        <f>B14-B16-B20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2026-04-22T13:29:52Z</dcterms:created>
  <dcterms:modified xsi:type="dcterms:W3CDTF">2026-04-22T13:29:52Z</dcterms:modified>
</cp:coreProperties>
</file>