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KUs 2025" sheetId="2" state="visible" r:id="rId2"/>
    <sheet name="Monthly 2025" sheetId="3" state="visible" r:id="rId3"/>
    <sheet name="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£#,##0.00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0A0A0F"/>
      <sz val="10"/>
    </font>
    <font>
      <b val="1"/>
      <color rgb="000A0A0F"/>
    </font>
    <font>
      <b val="1"/>
      <color rgb="00C9A84C"/>
      <sz val="14"/>
    </font>
    <font>
      <b val="1"/>
      <color rgb="00C9A84C"/>
    </font>
    <font>
      <i val="1"/>
      <color rgb="00888888"/>
    </font>
    <font>
      <color rgb="00000000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E8C9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IP &amp; LICENSING — DEV WORKBOOK</t>
        </is>
      </c>
    </row>
    <row r="2">
      <c r="A2" s="2" t="inlineStr"/>
    </row>
    <row r="3">
      <c r="A3" s="2" t="inlineStr">
        <is>
          <t>Source: 2025 Borough DMN online bookings portal (12 monthly sales-report PDFs).</t>
        </is>
      </c>
    </row>
    <row r="4">
      <c r="A4" s="2" t="inlineStr">
        <is>
          <t>This is the ONLY clean data available for what the website generated (vs office/bookings-person/Google data).</t>
        </is>
      </c>
    </row>
    <row r="5">
      <c r="A5" s="2" t="inlineStr"/>
    </row>
    <row r="6">
      <c r="A6" s="3" t="inlineStr">
        <is>
          <t>STRUCTURAL ASSUMPTIONS (v1):</t>
        </is>
      </c>
    </row>
    <row r="7">
      <c r="A7" s="2" t="inlineStr">
        <is>
          <t xml:space="preserve">  • Booking fee: 10% added ON TOP of ticket price at checkout. Kept by Holding Co. Funds online funnel (site/SEO/bot/payments).</t>
        </is>
      </c>
    </row>
    <row r="8">
      <c r="A8" s="2" t="inlineStr">
        <is>
          <t xml:space="preserve">  • Commission: SEPARATE % taken from the VENUE on gross ticket sales. Holding Co's per-venue licensing fee.</t>
        </is>
      </c>
    </row>
    <row r="9">
      <c r="A9" s="2" t="inlineStr">
        <is>
          <t xml:space="preserve">  • Token value: £0.325 per arcade token, NO VAT on tokens. Each 'Golf + 4 Tokens' SKU bundles 4 tokens (£1.30 per ticket).</t>
        </is>
      </c>
    </row>
    <row r="10">
      <c r="A10" s="2" t="inlineStr">
        <is>
          <t xml:space="preserve">  • Under the new model, tokens move to in-store TILL only — online SKUs will be re-priced to strip the token component.</t>
        </is>
      </c>
    </row>
    <row r="11">
      <c r="A11" s="2" t="inlineStr"/>
    </row>
    <row r="12">
      <c r="A12" s="3" t="inlineStr">
        <is>
          <t>SHEETS:</t>
        </is>
      </c>
    </row>
    <row r="13">
      <c r="A13" s="2" t="inlineStr">
        <is>
          <t xml:space="preserve">  • SKUs 2025 — every distinct online ticket type sold in 2025 with Token Value &amp; Booking Fee columns.</t>
        </is>
      </c>
    </row>
    <row r="14">
      <c r="A14" s="2" t="inlineStr">
        <is>
          <t xml:space="preserve">  • Monthly 2025 — per-month totals with Booking Fees column.</t>
        </is>
      </c>
    </row>
    <row r="15">
      <c r="A15" s="2" t="inlineStr">
        <is>
          <t xml:space="preserve">  • Model — interactive inputs (yellow cells) + formulas for Holding Co P&amp;L and venue net.</t>
        </is>
      </c>
    </row>
    <row r="16">
      <c r="A16" s="2" t="inlineStr"/>
    </row>
    <row r="17">
      <c r="A17" s="3" t="inlineStr">
        <is>
          <t>DATA FLAG:</t>
        </is>
      </c>
    </row>
    <row r="18">
      <c r="A18" s="2" t="inlineStr">
        <is>
          <t xml:space="preserve">  The existing presentation data.js shows Online Golf Tickets £210,485 — PDF total is £417,721 (~2× difference).</t>
        </is>
      </c>
    </row>
    <row r="19">
      <c r="A19" s="2" t="inlineStr">
        <is>
          <t xml:space="preserve">  Needs reconciliation but left untouched per 'isolated sheet, don't change others' instruction.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</cols>
  <sheetData>
    <row r="1" ht="38" customHeight="1">
      <c r="A1" s="4" t="inlineStr">
        <is>
          <t>SKU</t>
        </is>
      </c>
      <c r="B1" s="4" t="inlineStr">
        <is>
          <t>Tokens</t>
        </is>
      </c>
      <c r="C1" s="4" t="inlineStr">
        <is>
          <t>Gross Price</t>
        </is>
      </c>
      <c r="D1" s="4" t="inlineStr">
        <is>
          <t>Token Value
(£0.325/tkn, no VAT)</t>
        </is>
      </c>
      <c r="E1" s="4" t="inlineStr">
        <is>
          <t>Booking Fee
(10% of price)</t>
        </is>
      </c>
      <c r="F1" s="4" t="inlineStr">
        <is>
          <t>Customer Pays
(price + booking fee)</t>
        </is>
      </c>
      <c r="G1" s="4" t="inlineStr">
        <is>
          <t>Golf-only Price
(price − token value)</t>
        </is>
      </c>
      <c r="H1" s="4" t="inlineStr">
        <is>
          <t>Units Sold 2025</t>
        </is>
      </c>
      <c r="I1" s="4" t="inlineStr">
        <is>
          <t>Gross Revenue 2025</t>
        </is>
      </c>
      <c r="J1" s="4" t="inlineStr">
        <is>
          <t>Booking Fees 2025
(10% × revenue)</t>
        </is>
      </c>
      <c r="K1" s="4" t="inlineStr">
        <is>
          <t>Token Cost 2025
(units × token val)</t>
        </is>
      </c>
    </row>
    <row r="2">
      <c r="A2" t="inlineStr">
        <is>
          <t>Adult — Golf + 4 Tokens (Peak)</t>
        </is>
      </c>
      <c r="B2" t="n">
        <v>4</v>
      </c>
      <c r="C2" s="5" t="n">
        <v>16</v>
      </c>
      <c r="D2" s="6" t="n">
        <v>1.3</v>
      </c>
      <c r="E2" s="6" t="n">
        <v>1.6</v>
      </c>
      <c r="F2" s="6" t="n">
        <v>17.6</v>
      </c>
      <c r="G2" s="6" t="n">
        <v>14.7</v>
      </c>
      <c r="H2" s="7" t="n">
        <v>19292</v>
      </c>
      <c r="I2" s="5" t="n">
        <v>307990.2</v>
      </c>
      <c r="J2" s="5" t="n">
        <v>30799.02</v>
      </c>
      <c r="K2" s="5" t="n">
        <v>25079.6</v>
      </c>
    </row>
    <row r="3">
      <c r="A3" t="inlineStr">
        <is>
          <t>Off-Peak Adult — Golf + 4 Tokens</t>
        </is>
      </c>
      <c r="B3" t="n">
        <v>4</v>
      </c>
      <c r="C3" s="5" t="n">
        <v>12.5</v>
      </c>
      <c r="D3" s="6" t="n">
        <v>1.3</v>
      </c>
      <c r="E3" s="6" t="n">
        <v>1.25</v>
      </c>
      <c r="F3" s="6" t="n">
        <v>13.75</v>
      </c>
      <c r="G3" s="6" t="n">
        <v>11.2</v>
      </c>
      <c r="H3" s="7" t="n">
        <v>5864</v>
      </c>
      <c r="I3" s="5" t="n">
        <v>72970</v>
      </c>
      <c r="J3" s="5" t="n">
        <v>7297</v>
      </c>
      <c r="K3" s="5" t="n">
        <v>7623.2</v>
      </c>
    </row>
    <row r="4">
      <c r="A4" t="inlineStr">
        <is>
          <t>Under 18s — Golf + 4 Tokens</t>
        </is>
      </c>
      <c r="B4" t="n">
        <v>4</v>
      </c>
      <c r="C4" s="5" t="n">
        <v>10</v>
      </c>
      <c r="D4" s="6" t="n">
        <v>1.3</v>
      </c>
      <c r="E4" s="6" t="n">
        <v>1</v>
      </c>
      <c r="F4" s="6" t="n">
        <v>11</v>
      </c>
      <c r="G4" s="6" t="n">
        <v>8.699999999999999</v>
      </c>
      <c r="H4" s="7" t="n">
        <v>1940</v>
      </c>
      <c r="I4" s="5" t="n">
        <v>19354</v>
      </c>
      <c r="J4" s="5" t="n">
        <v>1935.4</v>
      </c>
      <c r="K4" s="5" t="n">
        <v>2522</v>
      </c>
    </row>
    <row r="5">
      <c r="A5" t="inlineStr">
        <is>
          <t>Off-Peak Under 18s — Golf + 4 Tokens</t>
        </is>
      </c>
      <c r="B5" t="n">
        <v>4</v>
      </c>
      <c r="C5" s="5" t="n">
        <v>10</v>
      </c>
      <c r="D5" s="6" t="n">
        <v>1.3</v>
      </c>
      <c r="E5" s="6" t="n">
        <v>1</v>
      </c>
      <c r="F5" s="6" t="n">
        <v>11</v>
      </c>
      <c r="G5" s="6" t="n">
        <v>8.699999999999999</v>
      </c>
      <c r="H5" s="7" t="n">
        <v>0</v>
      </c>
      <c r="I5" s="5" t="n">
        <v>0</v>
      </c>
      <c r="J5" s="5" t="n">
        <v>0</v>
      </c>
      <c r="K5" s="5" t="n">
        <v>0</v>
      </c>
    </row>
    <row r="6">
      <c r="A6" t="inlineStr">
        <is>
          <t>Game &amp; Drink</t>
        </is>
      </c>
      <c r="B6" t="n">
        <v>0</v>
      </c>
      <c r="C6" s="5" t="n">
        <v>12</v>
      </c>
      <c r="D6" s="6" t="n">
        <v>0</v>
      </c>
      <c r="E6" s="6" t="n">
        <v>1.2</v>
      </c>
      <c r="F6" s="6" t="n">
        <v>13.2</v>
      </c>
      <c r="G6" s="6" t="n">
        <v>12</v>
      </c>
      <c r="H6" s="7" t="n">
        <v>786</v>
      </c>
      <c r="I6" s="5" t="n">
        <v>9427.200000000001</v>
      </c>
      <c r="J6" s="5" t="n">
        <v>942.72</v>
      </c>
      <c r="K6" s="5" t="n">
        <v>0</v>
      </c>
    </row>
    <row r="7">
      <c r="A7" t="inlineStr">
        <is>
          <t>Late Night Golf</t>
        </is>
      </c>
      <c r="B7" t="n">
        <v>0</v>
      </c>
      <c r="C7" s="5" t="n">
        <v>5</v>
      </c>
      <c r="D7" s="6" t="n">
        <v>0</v>
      </c>
      <c r="E7" s="6" t="n">
        <v>0.5</v>
      </c>
      <c r="F7" s="6" t="n">
        <v>5.5</v>
      </c>
      <c r="G7" s="6" t="n">
        <v>5</v>
      </c>
      <c r="H7" s="7" t="n">
        <v>1576</v>
      </c>
      <c r="I7" s="5" t="n">
        <v>7880</v>
      </c>
      <c r="J7" s="5" t="n">
        <v>788</v>
      </c>
      <c r="K7" s="5" t="n">
        <v>0</v>
      </c>
    </row>
    <row r="8">
      <c r="A8" t="inlineStr">
        <is>
          <t>Valentine's Day Deal</t>
        </is>
      </c>
      <c r="B8" t="n">
        <v>0</v>
      </c>
      <c r="C8" s="5" t="n">
        <v>50</v>
      </c>
      <c r="D8" s="6" t="n">
        <v>0</v>
      </c>
      <c r="E8" s="6" t="n">
        <v>5</v>
      </c>
      <c r="F8" s="6" t="n">
        <v>55</v>
      </c>
      <c r="G8" s="6" t="n">
        <v>50</v>
      </c>
      <c r="H8" s="7" t="n">
        <v>2</v>
      </c>
      <c r="I8" s="5" t="n">
        <v>100</v>
      </c>
      <c r="J8" s="5" t="n">
        <v>10</v>
      </c>
      <c r="K8" s="5" t="n">
        <v>0</v>
      </c>
    </row>
    <row r="9">
      <c r="A9" s="8" t="inlineStr">
        <is>
          <t>TOTAL</t>
        </is>
      </c>
      <c r="B9" s="8" t="n"/>
      <c r="C9" s="8" t="n"/>
      <c r="D9" s="8" t="n"/>
      <c r="E9" s="8" t="n"/>
      <c r="F9" s="8" t="n"/>
      <c r="G9" s="8" t="n"/>
      <c r="H9" s="9" t="n">
        <v>29460</v>
      </c>
      <c r="I9" s="10" t="n">
        <v>417721.4</v>
      </c>
      <c r="J9" s="10" t="n">
        <v>41772.14</v>
      </c>
      <c r="K9" s="10" t="n">
        <v>35224.8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</cols>
  <sheetData>
    <row r="1">
      <c r="A1" s="4" t="inlineStr">
        <is>
          <t>Month</t>
        </is>
      </c>
      <c r="B1" s="4" t="inlineStr">
        <is>
          <t>Units Sold</t>
        </is>
      </c>
      <c r="C1" s="4" t="inlineStr">
        <is>
          <t>Gross Revenue</t>
        </is>
      </c>
      <c r="D1" s="4" t="inlineStr">
        <is>
          <t>Booking Fees (10%)</t>
        </is>
      </c>
    </row>
    <row r="2">
      <c r="A2" t="inlineStr">
        <is>
          <t>January</t>
        </is>
      </c>
      <c r="B2" s="7" t="n">
        <v>2586</v>
      </c>
      <c r="C2" s="5" t="n">
        <v>38778.6</v>
      </c>
      <c r="D2" s="5" t="n">
        <v>3877.86</v>
      </c>
    </row>
    <row r="3">
      <c r="A3" t="inlineStr">
        <is>
          <t>February</t>
        </is>
      </c>
      <c r="B3" s="7" t="n">
        <v>2984</v>
      </c>
      <c r="C3" s="5" t="n">
        <v>43723.4</v>
      </c>
      <c r="D3" s="5" t="n">
        <v>4372.34</v>
      </c>
    </row>
    <row r="4">
      <c r="A4" t="inlineStr">
        <is>
          <t>March</t>
        </is>
      </c>
      <c r="B4" s="7" t="n">
        <v>2388</v>
      </c>
      <c r="C4" s="5" t="n">
        <v>34546.4</v>
      </c>
      <c r="D4" s="5" t="n">
        <v>3454.64</v>
      </c>
    </row>
    <row r="5">
      <c r="A5" t="inlineStr">
        <is>
          <t>April</t>
        </is>
      </c>
      <c r="B5" s="7" t="n">
        <v>2212</v>
      </c>
      <c r="C5" s="5" t="n">
        <v>30081.6</v>
      </c>
      <c r="D5" s="5" t="n">
        <v>3008.16</v>
      </c>
    </row>
    <row r="6">
      <c r="A6" t="inlineStr">
        <is>
          <t>May</t>
        </is>
      </c>
      <c r="B6" s="7" t="n">
        <v>2106</v>
      </c>
      <c r="C6" s="5" t="n">
        <v>30491</v>
      </c>
      <c r="D6" s="5" t="n">
        <v>3049.1</v>
      </c>
    </row>
    <row r="7">
      <c r="A7" t="inlineStr">
        <is>
          <t>June</t>
        </is>
      </c>
      <c r="B7" s="7" t="n">
        <v>1774</v>
      </c>
      <c r="C7" s="5" t="n">
        <v>25087.4</v>
      </c>
      <c r="D7" s="5" t="n">
        <v>2508.74</v>
      </c>
    </row>
    <row r="8">
      <c r="A8" t="inlineStr">
        <is>
          <t>July</t>
        </is>
      </c>
      <c r="B8" s="7" t="n">
        <v>2064</v>
      </c>
      <c r="C8" s="5" t="n">
        <v>28797.6</v>
      </c>
      <c r="D8" s="5" t="n">
        <v>2879.76</v>
      </c>
    </row>
    <row r="9">
      <c r="A9" t="inlineStr">
        <is>
          <t>August</t>
        </is>
      </c>
      <c r="B9" s="7" t="n">
        <v>2680</v>
      </c>
      <c r="C9" s="5" t="n">
        <v>36889.9</v>
      </c>
      <c r="D9" s="5" t="n">
        <v>3688.99</v>
      </c>
    </row>
    <row r="10">
      <c r="A10" t="inlineStr">
        <is>
          <t>September</t>
        </is>
      </c>
      <c r="B10" s="7" t="n">
        <v>2124</v>
      </c>
      <c r="C10" s="5" t="n">
        <v>29619.4</v>
      </c>
      <c r="D10" s="5" t="n">
        <v>2961.94</v>
      </c>
    </row>
    <row r="11">
      <c r="A11" t="inlineStr">
        <is>
          <t>October</t>
        </is>
      </c>
      <c r="B11" s="7" t="n">
        <v>2944</v>
      </c>
      <c r="C11" s="5" t="n">
        <v>41058</v>
      </c>
      <c r="D11" s="5" t="n">
        <v>4105.8</v>
      </c>
    </row>
    <row r="12">
      <c r="A12" t="inlineStr">
        <is>
          <t>November</t>
        </is>
      </c>
      <c r="B12" s="7" t="n">
        <v>2530</v>
      </c>
      <c r="C12" s="5" t="n">
        <v>36316.5</v>
      </c>
      <c r="D12" s="5" t="n">
        <v>3631.65</v>
      </c>
    </row>
    <row r="13">
      <c r="A13" t="inlineStr">
        <is>
          <t>December</t>
        </is>
      </c>
      <c r="B13" s="7" t="n">
        <v>3068</v>
      </c>
      <c r="C13" s="5" t="n">
        <v>42331.6</v>
      </c>
      <c r="D13" s="5" t="n">
        <v>4233.16</v>
      </c>
    </row>
    <row r="14">
      <c r="A14" s="8" t="inlineStr">
        <is>
          <t>TOTAL</t>
        </is>
      </c>
      <c r="B14" s="9" t="n">
        <v>29460</v>
      </c>
      <c r="C14" s="10" t="n">
        <v>417721.4</v>
      </c>
      <c r="D14" s="10" t="n">
        <v>41772.14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HOLDING CO × VENUE — COMMISSION MODEL</t>
        </is>
      </c>
    </row>
    <row r="3">
      <c r="A3" s="11" t="inlineStr">
        <is>
          <t>INPUTS</t>
        </is>
      </c>
    </row>
    <row r="4">
      <c r="A4" t="inlineStr">
        <is>
          <t>Gross online sales (2025 baseline)</t>
        </is>
      </c>
      <c r="B4" s="5" t="n">
        <v>417721.4</v>
      </c>
    </row>
    <row r="5">
      <c r="A5" t="inlineStr">
        <is>
          <t>Volume uplift %</t>
        </is>
      </c>
      <c r="B5" s="12" t="n">
        <v>0</v>
      </c>
      <c r="C5" s="13" t="inlineStr">
        <is>
          <t>change this to test scenarios</t>
        </is>
      </c>
    </row>
    <row r="6">
      <c r="A6" t="inlineStr">
        <is>
          <t>Commission % (from venue)</t>
        </is>
      </c>
      <c r="B6" s="12" t="n">
        <v>0.1</v>
      </c>
      <c r="C6" s="13" t="inlineStr">
        <is>
          <t>holding co licence fee, slider default 10%</t>
        </is>
      </c>
    </row>
    <row r="7">
      <c r="A7" t="inlineStr">
        <is>
          <t>Booking fee % (on top, customer pays)</t>
        </is>
      </c>
      <c r="B7" s="12" t="n">
        <v>0.1</v>
      </c>
      <c r="C7" s="13" t="inlineStr">
        <is>
          <t>locked — online funnel cost</t>
        </is>
      </c>
    </row>
    <row r="8">
      <c r="A8" t="inlineStr">
        <is>
          <t>Maintenance (12 × £250)</t>
        </is>
      </c>
      <c r="B8" s="5" t="n">
        <v>3000</v>
      </c>
      <c r="C8" s="13" t="inlineStr">
        <is>
          <t>fixed</t>
        </is>
      </c>
    </row>
    <row r="9">
      <c r="A9" t="inlineStr">
        <is>
          <t>Website + booking system</t>
        </is>
      </c>
      <c r="B9" s="5" t="n">
        <v>6000</v>
      </c>
      <c r="C9" s="13" t="inlineStr">
        <is>
          <t>slider</t>
        </is>
      </c>
    </row>
    <row r="10">
      <c r="A10" t="inlineStr">
        <is>
          <t>SEO (non-venue-specific)</t>
        </is>
      </c>
      <c r="B10" s="5" t="n">
        <v>6000</v>
      </c>
      <c r="C10" s="13" t="inlineStr">
        <is>
          <t>slider</t>
        </is>
      </c>
    </row>
    <row r="11">
      <c r="A11" t="inlineStr">
        <is>
          <t>Chatbot / AI booking</t>
        </is>
      </c>
      <c r="B11" s="5" t="n">
        <v>1200</v>
      </c>
      <c r="C11" s="13" t="inlineStr">
        <is>
          <t>slider</t>
        </is>
      </c>
    </row>
    <row r="13">
      <c r="A13" s="11" t="inlineStr">
        <is>
          <t>OUTPUTS</t>
        </is>
      </c>
    </row>
    <row r="14">
      <c r="A14" t="inlineStr">
        <is>
          <t>Gross online sales (adjusted)</t>
        </is>
      </c>
      <c r="B14" s="5">
        <f>B4*(1+B5)</f>
        <v/>
      </c>
    </row>
    <row r="15">
      <c r="A15" t="inlineStr">
        <is>
          <t>Booking fees collected</t>
        </is>
      </c>
      <c r="B15" s="5">
        <f>B14*B7</f>
        <v/>
      </c>
    </row>
    <row r="16">
      <c r="A16" t="inlineStr">
        <is>
          <t>Commission from venue</t>
        </is>
      </c>
      <c r="B16" s="5">
        <f>B14*B6</f>
        <v/>
      </c>
    </row>
    <row r="17">
      <c r="A17" t="inlineStr">
        <is>
          <t>Holding Co revenue</t>
        </is>
      </c>
      <c r="B17" s="5">
        <f>B15+B16</f>
        <v/>
      </c>
    </row>
    <row r="18">
      <c r="A18" t="inlineStr">
        <is>
          <t>Total Holding Co costs</t>
        </is>
      </c>
      <c r="B18" s="5">
        <f>B8+B9+B10+B11</f>
        <v/>
      </c>
    </row>
    <row r="19">
      <c r="A19" t="inlineStr">
        <is>
          <t>NET to Holding Co</t>
        </is>
      </c>
      <c r="B19" s="5">
        <f>B17-B18</f>
        <v/>
      </c>
    </row>
    <row r="20">
      <c r="A20" t="inlineStr">
        <is>
          <t>Token cost (venue COGS)</t>
        </is>
      </c>
      <c r="B20" s="5">
        <f>(1+B5)*35224.8</f>
        <v/>
      </c>
    </row>
    <row r="21">
      <c r="A21" t="inlineStr">
        <is>
          <t>NET to venue (online)</t>
        </is>
      </c>
      <c r="B21" s="5">
        <f>B14-B16-B20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2026-04-22T12:29:18Z</dcterms:created>
  <dcterms:modified xsi:type="dcterms:W3CDTF">2026-04-22T12:29:18Z</dcterms:modified>
</cp:coreProperties>
</file>