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Online SKUs 2025" sheetId="2" state="visible" r:id="rId2"/>
    <sheet name="Office SKUs 2025" sheetId="3" state="visible" r:id="rId3"/>
    <sheet name="Monthly 2025" sheetId="4" state="visible" r:id="rId4"/>
    <sheet name="Mod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0"/>
    <numFmt numFmtId="165" formatCode="£#,##0.000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4FC3F7"/>
      <sz val="13"/>
    </font>
    <font>
      <b val="1"/>
      <color rgb="000A0A0F"/>
      <sz val="10"/>
    </font>
    <font>
      <b val="1"/>
      <color rgb="000A0A0F"/>
    </font>
    <font>
      <b val="1"/>
      <color rgb="009CA3AF"/>
      <sz val="13"/>
    </font>
    <font>
      <b val="1"/>
      <color rgb="00C9A84C"/>
      <sz val="13"/>
    </font>
    <font>
      <b val="1"/>
      <color rgb="00C9A84C"/>
      <sz val="14"/>
    </font>
    <font>
      <b val="1"/>
      <color rgb="00C9A84C"/>
    </font>
    <font>
      <i val="1"/>
      <color rgb="00888888"/>
    </font>
    <font>
      <color rgb="00000000"/>
      <sz val="11"/>
    </font>
    <font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C9A84C"/>
      </patternFill>
    </fill>
    <fill>
      <patternFill patternType="solid">
        <fgColor rgb="00E8C9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3" fillId="3" borderId="0" pivotButton="0" quotePrefix="0" xfId="0"/>
    <xf numFmtId="3" fontId="3" fillId="3" borderId="0" pivotButton="0" quotePrefix="0" xfId="0"/>
    <xf numFmtId="164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IP &amp; LICENSING — BOROUGH 2025 (split by channel, Plonk Golf × Venue)</t>
        </is>
      </c>
    </row>
    <row r="2">
      <c r="A2" s="2" t="inlineStr"/>
    </row>
    <row r="3">
      <c r="A3" s="2" t="inlineStr">
        <is>
          <t>Source: 'ALL DMN 2025 transactions ALL SITES.xlsx' — filtered to Borough venue only, split by Status column.</t>
        </is>
      </c>
    </row>
    <row r="4">
      <c r="A4" s="2" t="inlineStr"/>
    </row>
    <row r="5">
      <c r="A5" s="3" t="inlineStr">
        <is>
          <t>CHANNEL SPLIT:</t>
        </is>
      </c>
    </row>
    <row r="6">
      <c r="A6" s="2" t="inlineStr">
        <is>
          <t xml:space="preserve">  • ONLINE (Status = complete):  15,188 tickets  £ 211,163.70  ← actual portal revenue</t>
        </is>
      </c>
    </row>
    <row r="7">
      <c r="A7" s="2" t="inlineStr">
        <is>
          <t xml:space="preserve">  • OFFICE (Status = external):    4,512 tickets  £  61,629.00  ← imputed at SKU list price</t>
        </is>
      </c>
    </row>
    <row r="8">
      <c r="A8" s="3" t="inlineStr">
        <is>
          <t xml:space="preserve">  • COMBINED 2025 Borough rev:    19,700 tickets  £ 272,792.70</t>
        </is>
      </c>
    </row>
    <row r="9">
      <c r="A9" s="2" t="inlineStr"/>
    </row>
    <row r="10">
      <c r="A10" s="3" t="inlineStr">
        <is>
          <t>UNDER THE NEW MODEL:</t>
        </is>
      </c>
    </row>
    <row r="11">
      <c r="A11" s="2" t="inlineStr">
        <is>
          <t xml:space="preserve">  • Plonk Golf licenses the IP + runs the digital funnel. Revenue comes from booking fees + per-venue commission.</t>
        </is>
      </c>
    </row>
    <row r="12">
      <c r="A12" s="2" t="inlineStr">
        <is>
          <t xml:space="preserve">  • Office/bookings-team channel goes away unless Plonk Golf provides a bookings manager (conditional scenario).</t>
        </is>
      </c>
    </row>
    <row r="13">
      <c r="A13" s="2" t="inlineStr">
        <is>
          <t xml:space="preserve">  • Plonk Golf revenue = Booking Fee (10% on top) + Commission % × golf (online) + Commission % × golf (office, conditional).</t>
        </is>
      </c>
    </row>
    <row r="14">
      <c r="A14" s="2" t="inlineStr"/>
    </row>
    <row r="15">
      <c r="A15" s="3" t="inlineStr">
        <is>
          <t>PLONK GOLF COSTS (2026 baseline):</t>
        </is>
      </c>
    </row>
    <row r="16">
      <c r="A16" s="2" t="inlineStr">
        <is>
          <t xml:space="preserve">  • Maintenance (fixed):        £3,000/yr (12 × £250)</t>
        </is>
      </c>
    </row>
    <row r="17">
      <c r="A17" s="2" t="inlineStr">
        <is>
          <t xml:space="preserve">  • Website + booking system:   £6,000/yr</t>
        </is>
      </c>
    </row>
    <row r="18">
      <c r="A18" s="2" t="inlineStr">
        <is>
          <t xml:space="preserve">  • SEO (non-venue-specific):   £6,000/yr</t>
        </is>
      </c>
    </row>
    <row r="19">
      <c r="A19" s="2" t="inlineStr">
        <is>
          <t xml:space="preserve">  • Chatbot / AI booking:       £1,200/yr</t>
        </is>
      </c>
    </row>
    <row r="20">
      <c r="A20" s="2" t="inlineStr">
        <is>
          <t xml:space="preserve">  • Accountancy fees:           £3,000/yr</t>
        </is>
      </c>
    </row>
    <row r="21">
      <c r="A21" s="2" t="inlineStr">
        <is>
          <t xml:space="preserve">  • Payment processing:         1.5% × (online + office gross)</t>
        </is>
      </c>
    </row>
    <row r="22">
      <c r="A22" s="2" t="inlineStr"/>
    </row>
    <row r="23">
      <c r="A23" s="3" t="inlineStr">
        <is>
          <t>STRUCTURAL ASSUMPTIONS (v1):</t>
        </is>
      </c>
    </row>
    <row r="24">
      <c r="A24" s="2" t="inlineStr">
        <is>
          <t xml:space="preserve">  • Booking fee: 10% added ON TOP of ticket at checkout. Customer-facing. Kept by Plonk Golf.</t>
        </is>
      </c>
    </row>
    <row r="25">
      <c r="A25" s="2" t="inlineStr">
        <is>
          <t xml:space="preserve">  • Commission: SEPARATE % taken from VENUE on gross golf ticket sales. Plonk Golf's per-venue licensing fee.</t>
        </is>
      </c>
    </row>
    <row r="26">
      <c r="A26" s="2" t="inlineStr">
        <is>
          <t xml:space="preserve">  • Payment processing: 1.5% on all online-processed revenue (online + office if digitally processed). Plonk Golf cost.</t>
        </is>
      </c>
    </row>
    <row r="27">
      <c r="A27" s="2" t="inlineStr">
        <is>
          <t xml:space="preserve">  • Token value: £0.325 per arcade token, NO VAT. Each 'Golf + 4 Tokens' SKU bundles 4 tokens (£1.30/ticket).</t>
        </is>
      </c>
    </row>
    <row r="28">
      <c r="A28" s="2" t="inlineStr">
        <is>
          <t xml:space="preserve">  • Under new model tokens move to in-store TILL only — online SKUs will be re-priced to strip the token component.</t>
        </is>
      </c>
    </row>
    <row r="29">
      <c r="A29" s="2" t="inlineStr"/>
    </row>
    <row r="30">
      <c r="A30" s="2" t="inlineStr">
        <is>
          <t>NOTE: The Model sheet shows commission × GROSS (100% golf share). In the React UI, commission is scoped to golf-only SKUs</t>
        </is>
      </c>
    </row>
    <row r="31">
      <c r="A31" s="2" t="inlineStr">
        <is>
          <t xml:space="preserve">  (excluding pool tables, pool tournament, extra tokens and Valentine's Day). Golf share ≈ 97% of gross — re-model in Excel</t>
        </is>
      </c>
    </row>
    <row r="32">
      <c r="A32" s="2" t="inlineStr">
        <is>
          <t xml:space="preserve">  with an explicit golf-share input if/when you need higher precision.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6" customWidth="1" min="11" max="11"/>
  </cols>
  <sheetData>
    <row r="1">
      <c r="A1" s="4" t="inlineStr">
        <is>
          <t>SECTION A · ONLINE PORTAL BOOKINGS (Status = complete) — Borough 2025</t>
        </is>
      </c>
    </row>
    <row r="2" ht="44" customHeight="1">
      <c r="A2" s="5" t="inlineStr">
        <is>
          <t>SKU</t>
        </is>
      </c>
      <c r="B2" s="5" t="inlineStr">
        <is>
          <t>Tokens</t>
        </is>
      </c>
      <c r="C2" s="5" t="inlineStr">
        <is>
          <t>Gross Price</t>
        </is>
      </c>
      <c r="D2" s="5" t="inlineStr">
        <is>
          <t>Token Value
(£0.325/tkn, no VAT)</t>
        </is>
      </c>
      <c r="E2" s="5" t="inlineStr">
        <is>
          <t>Booking Fee
(10% of price)</t>
        </is>
      </c>
      <c r="F2" s="5" t="inlineStr">
        <is>
          <t>Customer Pays
(price + booking fee)</t>
        </is>
      </c>
      <c r="G2" s="5" t="inlineStr">
        <is>
          <t>Golf-only Price
(price − token value)</t>
        </is>
      </c>
      <c r="H2" s="5" t="inlineStr">
        <is>
          <t>Units Sold 2025</t>
        </is>
      </c>
      <c r="I2" s="5" t="inlineStr">
        <is>
          <t>Revenue 2025</t>
        </is>
      </c>
      <c r="J2" s="5" t="inlineStr">
        <is>
          <t>Booking Fees 2025</t>
        </is>
      </c>
      <c r="K2" s="5" t="inlineStr">
        <is>
          <t>Token Cost 2025</t>
        </is>
      </c>
    </row>
    <row r="3">
      <c r="A3" t="inlineStr">
        <is>
          <t>Adult — Golf + 4 Tokens (Peak)</t>
        </is>
      </c>
      <c r="B3" t="n">
        <v>4</v>
      </c>
      <c r="C3" s="6" t="n">
        <v>16</v>
      </c>
      <c r="D3" s="7" t="n">
        <v>1.3</v>
      </c>
      <c r="E3" s="7" t="n">
        <v>1.6</v>
      </c>
      <c r="F3" s="7" t="n">
        <v>17.6</v>
      </c>
      <c r="G3" s="7" t="n">
        <v>14.7</v>
      </c>
      <c r="H3" s="8" t="n">
        <v>9646</v>
      </c>
      <c r="I3" s="6" t="n">
        <v>153995.1</v>
      </c>
      <c r="J3" s="6" t="n">
        <v>15399.51</v>
      </c>
      <c r="K3" s="6" t="n">
        <v>12539.8</v>
      </c>
    </row>
    <row r="4">
      <c r="A4" t="inlineStr">
        <is>
          <t>Off-Peak Adult — Golf + 4 Tokens</t>
        </is>
      </c>
      <c r="B4" t="n">
        <v>4</v>
      </c>
      <c r="C4" s="6" t="n">
        <v>12.5</v>
      </c>
      <c r="D4" s="7" t="n">
        <v>1.3</v>
      </c>
      <c r="E4" s="7" t="n">
        <v>1.25</v>
      </c>
      <c r="F4" s="7" t="n">
        <v>13.75</v>
      </c>
      <c r="G4" s="7" t="n">
        <v>11.2</v>
      </c>
      <c r="H4" s="8" t="n">
        <v>2932</v>
      </c>
      <c r="I4" s="6" t="n">
        <v>36485</v>
      </c>
      <c r="J4" s="6" t="n">
        <v>3648.5</v>
      </c>
      <c r="K4" s="6" t="n">
        <v>3811.6</v>
      </c>
    </row>
    <row r="5">
      <c r="A5" t="inlineStr">
        <is>
          <t>Under 18s — Golf + 4 Tokens</t>
        </is>
      </c>
      <c r="B5" t="n">
        <v>4</v>
      </c>
      <c r="C5" s="6" t="n">
        <v>10</v>
      </c>
      <c r="D5" s="7" t="n">
        <v>1.3</v>
      </c>
      <c r="E5" s="7" t="n">
        <v>1</v>
      </c>
      <c r="F5" s="7" t="n">
        <v>11</v>
      </c>
      <c r="G5" s="7" t="n">
        <v>8.699999999999999</v>
      </c>
      <c r="H5" s="8" t="n">
        <v>970</v>
      </c>
      <c r="I5" s="6" t="n">
        <v>9677</v>
      </c>
      <c r="J5" s="6" t="n">
        <v>967.7</v>
      </c>
      <c r="K5" s="6" t="n">
        <v>1261</v>
      </c>
    </row>
    <row r="6">
      <c r="A6" t="inlineStr">
        <is>
          <t>Off-Peak Under 18s — Golf + 4 Tokens</t>
        </is>
      </c>
      <c r="B6" t="n">
        <v>4</v>
      </c>
      <c r="C6" s="6" t="n">
        <v>10</v>
      </c>
      <c r="D6" s="7" t="n">
        <v>1.3</v>
      </c>
      <c r="E6" s="7" t="n">
        <v>1</v>
      </c>
      <c r="F6" s="7" t="n">
        <v>11</v>
      </c>
      <c r="G6" s="7" t="n">
        <v>8.699999999999999</v>
      </c>
      <c r="H6" s="8" t="n">
        <v>0</v>
      </c>
      <c r="I6" s="6" t="n">
        <v>0</v>
      </c>
      <c r="J6" s="6" t="n">
        <v>0</v>
      </c>
      <c r="K6" s="6" t="n">
        <v>0</v>
      </c>
    </row>
    <row r="7">
      <c r="A7" t="inlineStr">
        <is>
          <t>Game &amp; Drink</t>
        </is>
      </c>
      <c r="B7" t="n">
        <v>0</v>
      </c>
      <c r="C7" s="6" t="n">
        <v>12</v>
      </c>
      <c r="D7" s="7" t="n">
        <v>0</v>
      </c>
      <c r="E7" s="7" t="n">
        <v>1.2</v>
      </c>
      <c r="F7" s="7" t="n">
        <v>13.2</v>
      </c>
      <c r="G7" s="7" t="n">
        <v>12</v>
      </c>
      <c r="H7" s="8" t="n">
        <v>393</v>
      </c>
      <c r="I7" s="6" t="n">
        <v>4713.6</v>
      </c>
      <c r="J7" s="6" t="n">
        <v>471.36</v>
      </c>
      <c r="K7" s="6" t="n">
        <v>0</v>
      </c>
    </row>
    <row r="8">
      <c r="A8" t="inlineStr">
        <is>
          <t>Late Night Golf</t>
        </is>
      </c>
      <c r="B8" t="n">
        <v>0</v>
      </c>
      <c r="C8" s="6" t="n">
        <v>5</v>
      </c>
      <c r="D8" s="7" t="n">
        <v>0</v>
      </c>
      <c r="E8" s="7" t="n">
        <v>0.5</v>
      </c>
      <c r="F8" s="7" t="n">
        <v>5.5</v>
      </c>
      <c r="G8" s="7" t="n">
        <v>5</v>
      </c>
      <c r="H8" s="8" t="n">
        <v>788</v>
      </c>
      <c r="I8" s="6" t="n">
        <v>3940</v>
      </c>
      <c r="J8" s="6" t="n">
        <v>394</v>
      </c>
      <c r="K8" s="6" t="n">
        <v>0</v>
      </c>
    </row>
    <row r="9">
      <c r="A9" t="inlineStr">
        <is>
          <t>Pool Table Reservation — 30 Mins</t>
        </is>
      </c>
      <c r="B9" t="n">
        <v>0</v>
      </c>
      <c r="C9" s="6" t="n">
        <v>5</v>
      </c>
      <c r="D9" s="7" t="n">
        <v>0</v>
      </c>
      <c r="E9" s="7" t="n">
        <v>0.5</v>
      </c>
      <c r="F9" s="7" t="n">
        <v>5.5</v>
      </c>
      <c r="G9" s="7" t="n">
        <v>5</v>
      </c>
      <c r="H9" s="8" t="n">
        <v>422</v>
      </c>
      <c r="I9" s="6" t="n">
        <v>2108</v>
      </c>
      <c r="J9" s="6" t="n">
        <v>210.8</v>
      </c>
      <c r="K9" s="6" t="n">
        <v>0</v>
      </c>
    </row>
    <row r="10">
      <c r="A10" t="inlineStr">
        <is>
          <t>Doubles Pool Tournament</t>
        </is>
      </c>
      <c r="B10" t="n">
        <v>0</v>
      </c>
      <c r="C10" s="6" t="n">
        <v>5</v>
      </c>
      <c r="D10" s="7" t="n">
        <v>0</v>
      </c>
      <c r="E10" s="7" t="n">
        <v>0.5</v>
      </c>
      <c r="F10" s="7" t="n">
        <v>5.5</v>
      </c>
      <c r="G10" s="7" t="n">
        <v>5</v>
      </c>
      <c r="H10" s="8" t="n">
        <v>5</v>
      </c>
      <c r="I10" s="6" t="n">
        <v>40</v>
      </c>
      <c r="J10" s="6" t="n">
        <v>4</v>
      </c>
      <c r="K10" s="6" t="n">
        <v>0</v>
      </c>
    </row>
    <row r="11">
      <c r="A11" t="inlineStr">
        <is>
          <t>Extra Arcade Tokens (add-on)</t>
        </is>
      </c>
      <c r="B11" t="n">
        <v>0</v>
      </c>
      <c r="C11" s="6" t="n">
        <v>5</v>
      </c>
      <c r="D11" s="7" t="n">
        <v>0</v>
      </c>
      <c r="E11" s="7" t="n">
        <v>0.5</v>
      </c>
      <c r="F11" s="7" t="n">
        <v>5.5</v>
      </c>
      <c r="G11" s="7" t="n">
        <v>5</v>
      </c>
      <c r="H11" s="8" t="n">
        <v>31</v>
      </c>
      <c r="I11" s="6" t="n">
        <v>155</v>
      </c>
      <c r="J11" s="6" t="n">
        <v>15.5</v>
      </c>
      <c r="K11" s="6" t="n">
        <v>0</v>
      </c>
    </row>
    <row r="12">
      <c r="A12" t="inlineStr">
        <is>
          <t>Valentine's Day Deal</t>
        </is>
      </c>
      <c r="B12" t="n">
        <v>0</v>
      </c>
      <c r="C12" s="6" t="n">
        <v>50</v>
      </c>
      <c r="D12" s="7" t="n">
        <v>0</v>
      </c>
      <c r="E12" s="7" t="n">
        <v>5</v>
      </c>
      <c r="F12" s="7" t="n">
        <v>55</v>
      </c>
      <c r="G12" s="7" t="n">
        <v>50</v>
      </c>
      <c r="H12" s="8" t="n">
        <v>1</v>
      </c>
      <c r="I12" s="6" t="n">
        <v>50</v>
      </c>
      <c r="J12" s="6" t="n">
        <v>5</v>
      </c>
      <c r="K12" s="6" t="n">
        <v>0</v>
      </c>
    </row>
    <row r="13">
      <c r="A13" s="9" t="inlineStr">
        <is>
          <t>TOTAL</t>
        </is>
      </c>
      <c r="B13" s="9" t="n"/>
      <c r="C13" s="9" t="n"/>
      <c r="D13" s="9" t="n"/>
      <c r="E13" s="9" t="n"/>
      <c r="F13" s="9" t="n"/>
      <c r="G13" s="9" t="n"/>
      <c r="H13" s="10" t="n">
        <v>15188</v>
      </c>
      <c r="I13" s="11" t="n">
        <v>211163.7</v>
      </c>
      <c r="J13" s="11" t="n">
        <v>21116.37</v>
      </c>
      <c r="K13" s="11" t="n">
        <v>17612.4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6" customWidth="1" min="11" max="11"/>
  </cols>
  <sheetData>
    <row r="1">
      <c r="A1" s="12" t="inlineStr">
        <is>
          <t>SECTION B · OFFICE / EXTERNAL BOOKINGS (Status = external) — Borough 2025 · Revenue imputed at SKU list price</t>
        </is>
      </c>
    </row>
    <row r="2" ht="44" customHeight="1">
      <c r="A2" s="5" t="inlineStr">
        <is>
          <t>SKU</t>
        </is>
      </c>
      <c r="B2" s="5" t="inlineStr">
        <is>
          <t>Tokens</t>
        </is>
      </c>
      <c r="C2" s="5" t="inlineStr">
        <is>
          <t>Gross Price</t>
        </is>
      </c>
      <c r="D2" s="5" t="inlineStr">
        <is>
          <t>Token Value
(£0.325/tkn, no VAT)</t>
        </is>
      </c>
      <c r="E2" s="5" t="inlineStr">
        <is>
          <t>Booking Fee
(10% of price)</t>
        </is>
      </c>
      <c r="F2" s="5" t="inlineStr">
        <is>
          <t>Customer Pays
(price + booking fee)</t>
        </is>
      </c>
      <c r="G2" s="5" t="inlineStr">
        <is>
          <t>Golf-only Price
(price − token value)</t>
        </is>
      </c>
      <c r="H2" s="5" t="inlineStr">
        <is>
          <t>Units Sold 2025</t>
        </is>
      </c>
      <c r="I2" s="5" t="inlineStr">
        <is>
          <t>Revenue 2025
(imputed at list price)</t>
        </is>
      </c>
      <c r="J2" s="5" t="inlineStr">
        <is>
          <t>Booking Fees 2025
(n/a for till sales)</t>
        </is>
      </c>
      <c r="K2" s="5" t="inlineStr">
        <is>
          <t>Token Cost 2025</t>
        </is>
      </c>
    </row>
    <row r="3">
      <c r="A3" t="inlineStr">
        <is>
          <t>Adult — Golf + 4 Tokens (Peak)</t>
        </is>
      </c>
      <c r="B3" t="n">
        <v>4</v>
      </c>
      <c r="C3" s="6" t="n">
        <v>16</v>
      </c>
      <c r="D3" s="7" t="n">
        <v>1.3</v>
      </c>
      <c r="E3" s="7" t="n">
        <v>1.6</v>
      </c>
      <c r="F3" s="7" t="n">
        <v>17.6</v>
      </c>
      <c r="G3" s="7" t="n">
        <v>14.7</v>
      </c>
      <c r="H3" s="8" t="n">
        <v>1977</v>
      </c>
      <c r="I3" s="6" t="n">
        <v>31632</v>
      </c>
      <c r="J3" s="6" t="n">
        <v>0</v>
      </c>
      <c r="K3" s="6" t="n">
        <v>2570.1</v>
      </c>
    </row>
    <row r="4">
      <c r="A4" t="inlineStr">
        <is>
          <t>Off-Peak Adult — Golf + 4 Tokens</t>
        </is>
      </c>
      <c r="B4" t="n">
        <v>4</v>
      </c>
      <c r="C4" s="6" t="n">
        <v>12.5</v>
      </c>
      <c r="D4" s="7" t="n">
        <v>1.3</v>
      </c>
      <c r="E4" s="7" t="n">
        <v>1.25</v>
      </c>
      <c r="F4" s="7" t="n">
        <v>13.75</v>
      </c>
      <c r="G4" s="7" t="n">
        <v>11.2</v>
      </c>
      <c r="H4" s="8" t="n">
        <v>1868</v>
      </c>
      <c r="I4" s="6" t="n">
        <v>23350</v>
      </c>
      <c r="J4" s="6" t="n">
        <v>0</v>
      </c>
      <c r="K4" s="6" t="n">
        <v>2428.4</v>
      </c>
    </row>
    <row r="5">
      <c r="A5" t="inlineStr">
        <is>
          <t>Under 18s — Golf + 4 Tokens</t>
        </is>
      </c>
      <c r="B5" t="n">
        <v>4</v>
      </c>
      <c r="C5" s="6" t="n">
        <v>10</v>
      </c>
      <c r="D5" s="7" t="n">
        <v>1.3</v>
      </c>
      <c r="E5" s="7" t="n">
        <v>1</v>
      </c>
      <c r="F5" s="7" t="n">
        <v>11</v>
      </c>
      <c r="G5" s="7" t="n">
        <v>8.699999999999999</v>
      </c>
      <c r="H5" s="8" t="n">
        <v>268</v>
      </c>
      <c r="I5" s="6" t="n">
        <v>2680</v>
      </c>
      <c r="J5" s="6" t="n">
        <v>0</v>
      </c>
      <c r="K5" s="6" t="n">
        <v>348.4</v>
      </c>
    </row>
    <row r="6">
      <c r="A6" t="inlineStr">
        <is>
          <t>Off-Peak Under 18s — Golf + 4 Tokens</t>
        </is>
      </c>
      <c r="B6" t="n">
        <v>4</v>
      </c>
      <c r="C6" s="6" t="n">
        <v>10</v>
      </c>
      <c r="D6" s="7" t="n">
        <v>1.3</v>
      </c>
      <c r="E6" s="7" t="n">
        <v>1</v>
      </c>
      <c r="F6" s="7" t="n">
        <v>11</v>
      </c>
      <c r="G6" s="7" t="n">
        <v>8.699999999999999</v>
      </c>
      <c r="H6" s="8" t="n">
        <v>8</v>
      </c>
      <c r="I6" s="6" t="n">
        <v>80</v>
      </c>
      <c r="J6" s="6" t="n">
        <v>0</v>
      </c>
      <c r="K6" s="6" t="n">
        <v>10.4</v>
      </c>
    </row>
    <row r="7">
      <c r="A7" t="inlineStr">
        <is>
          <t>Game &amp; Drink</t>
        </is>
      </c>
      <c r="B7" t="n">
        <v>0</v>
      </c>
      <c r="C7" s="6" t="n">
        <v>12</v>
      </c>
      <c r="D7" s="7" t="n">
        <v>0</v>
      </c>
      <c r="E7" s="7" t="n">
        <v>1.2</v>
      </c>
      <c r="F7" s="7" t="n">
        <v>13.2</v>
      </c>
      <c r="G7" s="7" t="n">
        <v>12</v>
      </c>
      <c r="H7" s="8" t="n">
        <v>276</v>
      </c>
      <c r="I7" s="6" t="n">
        <v>3312</v>
      </c>
      <c r="J7" s="6" t="n">
        <v>0</v>
      </c>
      <c r="K7" s="6" t="n">
        <v>0</v>
      </c>
    </row>
    <row r="8">
      <c r="A8" t="inlineStr">
        <is>
          <t>Late Night Golf</t>
        </is>
      </c>
      <c r="B8" t="n">
        <v>0</v>
      </c>
      <c r="C8" s="6" t="n">
        <v>5</v>
      </c>
      <c r="D8" s="7" t="n">
        <v>0</v>
      </c>
      <c r="E8" s="7" t="n">
        <v>0.5</v>
      </c>
      <c r="F8" s="7" t="n">
        <v>5.5</v>
      </c>
      <c r="G8" s="7" t="n">
        <v>5</v>
      </c>
      <c r="H8" s="8" t="n">
        <v>12</v>
      </c>
      <c r="I8" s="6" t="n">
        <v>60</v>
      </c>
      <c r="J8" s="6" t="n">
        <v>0</v>
      </c>
      <c r="K8" s="6" t="n">
        <v>0</v>
      </c>
    </row>
    <row r="9">
      <c r="A9" t="inlineStr">
        <is>
          <t>Pool Table Reservation — 30 Mins</t>
        </is>
      </c>
      <c r="B9" t="n">
        <v>0</v>
      </c>
      <c r="C9" s="6" t="n">
        <v>5</v>
      </c>
      <c r="D9" s="7" t="n">
        <v>0</v>
      </c>
      <c r="E9" s="7" t="n">
        <v>0.5</v>
      </c>
      <c r="F9" s="7" t="n">
        <v>5.5</v>
      </c>
      <c r="G9" s="7" t="n">
        <v>5</v>
      </c>
      <c r="H9" s="8" t="n">
        <v>103</v>
      </c>
      <c r="I9" s="6" t="n">
        <v>515</v>
      </c>
      <c r="J9" s="6" t="n">
        <v>0</v>
      </c>
      <c r="K9" s="6" t="n">
        <v>0</v>
      </c>
    </row>
    <row r="10">
      <c r="A10" t="inlineStr">
        <is>
          <t>Doubles Pool Tournament</t>
        </is>
      </c>
      <c r="B10" t="n">
        <v>0</v>
      </c>
      <c r="C10" s="6" t="n">
        <v>5</v>
      </c>
      <c r="D10" s="7" t="n">
        <v>0</v>
      </c>
      <c r="E10" s="7" t="n">
        <v>0.5</v>
      </c>
      <c r="F10" s="7" t="n">
        <v>5.5</v>
      </c>
      <c r="G10" s="7" t="n">
        <v>5</v>
      </c>
      <c r="H10" s="8" t="n">
        <v>0</v>
      </c>
      <c r="I10" s="6" t="n">
        <v>0</v>
      </c>
      <c r="J10" s="6" t="n">
        <v>0</v>
      </c>
      <c r="K10" s="6" t="n">
        <v>0</v>
      </c>
    </row>
    <row r="11">
      <c r="A11" t="inlineStr">
        <is>
          <t>Extra Arcade Tokens (add-on)</t>
        </is>
      </c>
      <c r="B11" t="n">
        <v>0</v>
      </c>
      <c r="C11" s="6" t="n">
        <v>5</v>
      </c>
      <c r="D11" s="7" t="n">
        <v>0</v>
      </c>
      <c r="E11" s="7" t="n">
        <v>0.5</v>
      </c>
      <c r="F11" s="7" t="n">
        <v>5.5</v>
      </c>
      <c r="G11" s="7" t="n">
        <v>5</v>
      </c>
      <c r="H11" s="8" t="n">
        <v>0</v>
      </c>
      <c r="I11" s="6" t="n">
        <v>0</v>
      </c>
      <c r="J11" s="6" t="n">
        <v>0</v>
      </c>
      <c r="K11" s="6" t="n">
        <v>0</v>
      </c>
    </row>
    <row r="12">
      <c r="A12" t="inlineStr">
        <is>
          <t>Valentine's Day Deal</t>
        </is>
      </c>
      <c r="B12" t="n">
        <v>0</v>
      </c>
      <c r="C12" s="6" t="n">
        <v>50</v>
      </c>
      <c r="D12" s="7" t="n">
        <v>0</v>
      </c>
      <c r="E12" s="7" t="n">
        <v>5</v>
      </c>
      <c r="F12" s="7" t="n">
        <v>55</v>
      </c>
      <c r="G12" s="7" t="n">
        <v>50</v>
      </c>
      <c r="H12" s="8" t="n">
        <v>0</v>
      </c>
      <c r="I12" s="6" t="n">
        <v>0</v>
      </c>
      <c r="J12" s="6" t="n">
        <v>0</v>
      </c>
      <c r="K12" s="6" t="n">
        <v>0</v>
      </c>
    </row>
    <row r="13">
      <c r="A13" s="9" t="inlineStr">
        <is>
          <t>TOTAL</t>
        </is>
      </c>
      <c r="B13" s="9" t="n"/>
      <c r="C13" s="9" t="n"/>
      <c r="D13" s="9" t="n"/>
      <c r="E13" s="9" t="n"/>
      <c r="F13" s="9" t="n"/>
      <c r="G13" s="9" t="n"/>
      <c r="H13" s="10" t="n">
        <v>4512</v>
      </c>
      <c r="I13" s="11" t="n">
        <v>61629</v>
      </c>
      <c r="J13" s="11" t="n">
        <v>0</v>
      </c>
      <c r="K13" s="11" t="n">
        <v>5357.3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8" customWidth="1" min="5" max="5"/>
    <col width="18" customWidth="1" min="6" max="6"/>
  </cols>
  <sheetData>
    <row r="1">
      <c r="A1" s="13" t="inlineStr">
        <is>
          <t>MONTHLY CHANNEL SPLIT — Borough 2025 (online actual · office imputed at list price)</t>
        </is>
      </c>
    </row>
    <row r="2" ht="32" customHeight="1">
      <c r="A2" s="5" t="inlineStr">
        <is>
          <t>Month</t>
        </is>
      </c>
      <c r="B2" s="5" t="inlineStr">
        <is>
          <t>Online Qty</t>
        </is>
      </c>
      <c r="C2" s="5" t="inlineStr">
        <is>
          <t>Online Revenue</t>
        </is>
      </c>
      <c r="D2" s="5" t="inlineStr">
        <is>
          <t>Office Qty</t>
        </is>
      </c>
      <c r="E2" s="5" t="inlineStr">
        <is>
          <t>Office Revenue
(imputed)</t>
        </is>
      </c>
      <c r="F2" s="5" t="inlineStr">
        <is>
          <t>Total Revenue</t>
        </is>
      </c>
    </row>
    <row r="3">
      <c r="A3" t="inlineStr">
        <is>
          <t>Jan</t>
        </is>
      </c>
      <c r="B3" s="8" t="n">
        <v>1333</v>
      </c>
      <c r="C3" s="6" t="n">
        <v>19589.3</v>
      </c>
      <c r="D3" s="8" t="n">
        <v>298</v>
      </c>
      <c r="E3" s="6" t="n">
        <v>3836.5</v>
      </c>
      <c r="F3" s="6" t="n">
        <v>23425.8</v>
      </c>
    </row>
    <row r="4">
      <c r="A4" t="inlineStr">
        <is>
          <t>Feb</t>
        </is>
      </c>
      <c r="B4" s="8" t="n">
        <v>1525</v>
      </c>
      <c r="C4" s="6" t="n">
        <v>22026.7</v>
      </c>
      <c r="D4" s="8" t="n">
        <v>183</v>
      </c>
      <c r="E4" s="6" t="n">
        <v>2406.5</v>
      </c>
      <c r="F4" s="6" t="n">
        <v>24433.2</v>
      </c>
    </row>
    <row r="5">
      <c r="A5" t="inlineStr">
        <is>
          <t>Mar</t>
        </is>
      </c>
      <c r="B5" s="8" t="n">
        <v>1214</v>
      </c>
      <c r="C5" s="6" t="n">
        <v>17373.2</v>
      </c>
      <c r="D5" s="8" t="n">
        <v>349</v>
      </c>
      <c r="E5" s="6" t="n">
        <v>4822</v>
      </c>
      <c r="F5" s="6" t="n">
        <v>22195.2</v>
      </c>
    </row>
    <row r="6">
      <c r="A6" t="inlineStr">
        <is>
          <t>Apr</t>
        </is>
      </c>
      <c r="B6" s="8" t="n">
        <v>1141</v>
      </c>
      <c r="C6" s="6" t="n">
        <v>15215.8</v>
      </c>
      <c r="D6" s="8" t="n">
        <v>353</v>
      </c>
      <c r="E6" s="6" t="n">
        <v>4777.5</v>
      </c>
      <c r="F6" s="6" t="n">
        <v>19993.3</v>
      </c>
    </row>
    <row r="7">
      <c r="A7" t="inlineStr">
        <is>
          <t>May</t>
        </is>
      </c>
      <c r="B7" s="8" t="n">
        <v>1075</v>
      </c>
      <c r="C7" s="6" t="n">
        <v>15355.5</v>
      </c>
      <c r="D7" s="8" t="n">
        <v>295</v>
      </c>
      <c r="E7" s="6" t="n">
        <v>4071.5</v>
      </c>
      <c r="F7" s="6" t="n">
        <v>19427</v>
      </c>
    </row>
    <row r="8">
      <c r="A8" t="inlineStr">
        <is>
          <t>Jun</t>
        </is>
      </c>
      <c r="B8" s="8" t="n">
        <v>908</v>
      </c>
      <c r="C8" s="6" t="n">
        <v>12648.7</v>
      </c>
      <c r="D8" s="8" t="n">
        <v>391</v>
      </c>
      <c r="E8" s="6" t="n">
        <v>5440.5</v>
      </c>
      <c r="F8" s="6" t="n">
        <v>18089.2</v>
      </c>
    </row>
    <row r="9">
      <c r="A9" t="inlineStr">
        <is>
          <t>Jul</t>
        </is>
      </c>
      <c r="B9" s="8" t="n">
        <v>1052</v>
      </c>
      <c r="C9" s="6" t="n">
        <v>14498.8</v>
      </c>
      <c r="D9" s="8" t="n">
        <v>423</v>
      </c>
      <c r="E9" s="6" t="n">
        <v>5845.5</v>
      </c>
      <c r="F9" s="6" t="n">
        <v>20344.3</v>
      </c>
    </row>
    <row r="10">
      <c r="A10" t="inlineStr">
        <is>
          <t>Aug</t>
        </is>
      </c>
      <c r="B10" s="8" t="n">
        <v>1380</v>
      </c>
      <c r="C10" s="6" t="n">
        <v>18644.95</v>
      </c>
      <c r="D10" s="8" t="n">
        <v>167</v>
      </c>
      <c r="E10" s="6" t="n">
        <v>2005.5</v>
      </c>
      <c r="F10" s="6" t="n">
        <v>20650.45</v>
      </c>
    </row>
    <row r="11">
      <c r="A11" t="inlineStr">
        <is>
          <t>Sep</t>
        </is>
      </c>
      <c r="B11" s="8" t="n">
        <v>1126</v>
      </c>
      <c r="C11" s="6" t="n">
        <v>15127.7</v>
      </c>
      <c r="D11" s="8" t="n">
        <v>351</v>
      </c>
      <c r="E11" s="6" t="n">
        <v>5085.5</v>
      </c>
      <c r="F11" s="6" t="n">
        <v>20213.2</v>
      </c>
    </row>
    <row r="12">
      <c r="A12" t="inlineStr">
        <is>
          <t>Oct</t>
        </is>
      </c>
      <c r="B12" s="8" t="n">
        <v>1519</v>
      </c>
      <c r="C12" s="6" t="n">
        <v>20779</v>
      </c>
      <c r="D12" s="8" t="n">
        <v>274</v>
      </c>
      <c r="E12" s="6" t="n">
        <v>4007.5</v>
      </c>
      <c r="F12" s="6" t="n">
        <v>24786.5</v>
      </c>
    </row>
    <row r="13">
      <c r="A13" t="inlineStr">
        <is>
          <t>Nov</t>
        </is>
      </c>
      <c r="B13" s="8" t="n">
        <v>1319</v>
      </c>
      <c r="C13" s="6" t="n">
        <v>18428.25</v>
      </c>
      <c r="D13" s="8" t="n">
        <v>470</v>
      </c>
      <c r="E13" s="6" t="n">
        <v>6560</v>
      </c>
      <c r="F13" s="6" t="n">
        <v>24988.25</v>
      </c>
    </row>
    <row r="14">
      <c r="A14" t="inlineStr">
        <is>
          <t>Dec</t>
        </is>
      </c>
      <c r="B14" s="8" t="n">
        <v>1596</v>
      </c>
      <c r="C14" s="6" t="n">
        <v>21475.8</v>
      </c>
      <c r="D14" s="8" t="n">
        <v>958</v>
      </c>
      <c r="E14" s="6" t="n">
        <v>12770.5</v>
      </c>
      <c r="F14" s="6" t="n">
        <v>34246.3</v>
      </c>
    </row>
    <row r="15">
      <c r="A15" s="9" t="inlineStr">
        <is>
          <t>TOTAL</t>
        </is>
      </c>
      <c r="B15" s="10" t="n">
        <v>15188</v>
      </c>
      <c r="C15" s="11" t="n">
        <v>211163.7</v>
      </c>
      <c r="D15" s="10" t="n">
        <v>4512</v>
      </c>
      <c r="E15" s="11" t="n">
        <v>61629</v>
      </c>
      <c r="F15" s="11" t="n">
        <v>272792.7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4" customWidth="1" min="3" max="3"/>
  </cols>
  <sheetData>
    <row r="1">
      <c r="A1" s="1" t="inlineStr">
        <is>
          <t>PLONK GOLF × VENUE — COMMISSION MODEL</t>
        </is>
      </c>
    </row>
    <row r="3">
      <c r="A3" s="14" t="inlineStr">
        <is>
          <t>INPUTS</t>
        </is>
      </c>
    </row>
    <row r="4">
      <c r="A4" t="inlineStr">
        <is>
          <t>Gross online sales baseline (2025)</t>
        </is>
      </c>
      <c r="B4" s="6" t="n">
        <v>211163.7</v>
      </c>
      <c r="C4" s="15" t="inlineStr">
        <is>
          <t>from Online SKUs sheet</t>
        </is>
      </c>
    </row>
    <row r="5">
      <c r="A5" t="inlineStr">
        <is>
          <t>Gross office sales baseline (imputed 2025)</t>
        </is>
      </c>
      <c r="B5" s="6" t="n">
        <v>61629</v>
      </c>
      <c r="C5" s="15" t="inlineStr">
        <is>
          <t>from Office SKUs sheet</t>
        </is>
      </c>
    </row>
    <row r="6">
      <c r="A6" t="inlineStr">
        <is>
          <t>Volume uplift %</t>
        </is>
      </c>
      <c r="B6" s="16" t="n">
        <v>0</v>
      </c>
      <c r="C6" s="15" t="inlineStr">
        <is>
          <t>test scenarios</t>
        </is>
      </c>
    </row>
    <row r="7">
      <c r="A7" t="inlineStr">
        <is>
          <t>Commission % — online golf</t>
        </is>
      </c>
      <c r="B7" s="16" t="n">
        <v>0.1</v>
      </c>
      <c r="C7" s="15" t="inlineStr">
        <is>
          <t>slider default 10%</t>
        </is>
      </c>
    </row>
    <row r="8">
      <c r="A8" t="inlineStr">
        <is>
          <t>Commission % — office golf (bookings manager)</t>
        </is>
      </c>
      <c r="B8" s="16" t="n">
        <v>0.1</v>
      </c>
      <c r="C8" s="15" t="inlineStr">
        <is>
          <t>conditional scenario</t>
        </is>
      </c>
    </row>
    <row r="9">
      <c r="A9" t="inlineStr">
        <is>
          <t>Booking fee % (on top, customer pays)</t>
        </is>
      </c>
      <c r="B9" s="16" t="n">
        <v>0.1</v>
      </c>
      <c r="C9" s="15" t="inlineStr">
        <is>
          <t>locked — online funnel cost</t>
        </is>
      </c>
    </row>
    <row r="10">
      <c r="A10" t="inlineStr">
        <is>
          <t>Payment processing % (Stripe or similar)</t>
        </is>
      </c>
      <c r="B10" s="16" t="n">
        <v>0.015</v>
      </c>
      <c r="C10" s="15" t="inlineStr">
        <is>
          <t>Plonk Golf cost on all online-processed revenue</t>
        </is>
      </c>
    </row>
    <row r="11">
      <c r="A11" t="inlineStr">
        <is>
          <t>Maintenance (12 × £250)</t>
        </is>
      </c>
      <c r="B11" s="6" t="n">
        <v>3000</v>
      </c>
      <c r="C11" s="15" t="inlineStr">
        <is>
          <t>fixed</t>
        </is>
      </c>
    </row>
    <row r="12">
      <c r="A12" t="inlineStr">
        <is>
          <t>Website + booking system</t>
        </is>
      </c>
      <c r="B12" s="6" t="n">
        <v>6000</v>
      </c>
      <c r="C12" s="15" t="inlineStr">
        <is>
          <t>slider</t>
        </is>
      </c>
    </row>
    <row r="13">
      <c r="A13" t="inlineStr">
        <is>
          <t>SEO (non-venue-specific)</t>
        </is>
      </c>
      <c r="B13" s="6" t="n">
        <v>6000</v>
      </c>
      <c r="C13" s="15" t="inlineStr">
        <is>
          <t>slider</t>
        </is>
      </c>
    </row>
    <row r="14">
      <c r="A14" t="inlineStr">
        <is>
          <t>Chatbot / AI booking</t>
        </is>
      </c>
      <c r="B14" s="6" t="n">
        <v>1200</v>
      </c>
      <c r="C14" s="15" t="inlineStr">
        <is>
          <t>slider</t>
        </is>
      </c>
    </row>
    <row r="15">
      <c r="A15" t="inlineStr">
        <is>
          <t>Accountancy fees</t>
        </is>
      </c>
      <c r="B15" s="6" t="n">
        <v>3000</v>
      </c>
      <c r="C15" s="15" t="inlineStr">
        <is>
          <t>slider default £3k/yr</t>
        </is>
      </c>
    </row>
    <row r="17">
      <c r="A17" s="14" t="inlineStr">
        <is>
          <t>OUTPUTS</t>
        </is>
      </c>
    </row>
    <row r="18">
      <c r="A18" t="inlineStr">
        <is>
          <t>Gross online sales (adjusted)</t>
        </is>
      </c>
      <c r="B18" s="6">
        <f>B4*(1+B6)</f>
        <v/>
      </c>
    </row>
    <row r="19">
      <c r="A19" t="inlineStr">
        <is>
          <t>Gross office sales (adjusted)</t>
        </is>
      </c>
      <c r="B19" s="6">
        <f>B5*(1+B6)</f>
        <v/>
      </c>
    </row>
    <row r="20">
      <c r="A20" t="inlineStr">
        <is>
          <t>Booking fees collected (online × 10%)</t>
        </is>
      </c>
      <c r="B20" s="6">
        <f>B18*B9</f>
        <v/>
      </c>
    </row>
    <row r="21">
      <c r="A21" t="inlineStr">
        <is>
          <t>Commission from Venue — Online (× golf share assumed 100%)</t>
        </is>
      </c>
      <c r="B21" s="6">
        <f>B18*B7</f>
        <v/>
      </c>
    </row>
    <row r="22">
      <c r="A22" t="inlineStr">
        <is>
          <t>Commission from Venue — Office (× golf share assumed 100%)</t>
        </is>
      </c>
      <c r="B22" s="6">
        <f>B19*B8</f>
        <v/>
      </c>
    </row>
    <row r="23">
      <c r="A23" t="inlineStr">
        <is>
          <t>Plonk Golf revenue</t>
        </is>
      </c>
      <c r="B23" s="6">
        <f>B20+B21+B22</f>
        <v/>
      </c>
    </row>
    <row r="24">
      <c r="A24" t="inlineStr">
        <is>
          <t>− Payment processing (1.5% × online + office)</t>
        </is>
      </c>
      <c r="B24" s="6">
        <f>(B18+B19)*B10</f>
        <v/>
      </c>
    </row>
    <row r="25">
      <c r="A25" t="inlineStr">
        <is>
          <t>− Maintenance (12 × £250)</t>
        </is>
      </c>
      <c r="B25" s="6">
        <f>B11</f>
        <v/>
      </c>
    </row>
    <row r="26">
      <c r="A26" t="inlineStr">
        <is>
          <t>− Website + booking system</t>
        </is>
      </c>
      <c r="B26" s="6">
        <f>B12</f>
        <v/>
      </c>
    </row>
    <row r="27">
      <c r="A27" t="inlineStr">
        <is>
          <t>− SEO</t>
        </is>
      </c>
      <c r="B27" s="6">
        <f>B13</f>
        <v/>
      </c>
    </row>
    <row r="28">
      <c r="A28" t="inlineStr">
        <is>
          <t>− Chatbot / AI booking</t>
        </is>
      </c>
      <c r="B28" s="6">
        <f>B14</f>
        <v/>
      </c>
    </row>
    <row r="29">
      <c r="A29" t="inlineStr">
        <is>
          <t>− Accountancy fees</t>
        </is>
      </c>
      <c r="B29" s="6">
        <f>B15</f>
        <v/>
      </c>
    </row>
    <row r="30">
      <c r="A30" t="inlineStr">
        <is>
          <t>Total Plonk Golf costs</t>
        </is>
      </c>
      <c r="B30" s="6">
        <f>B24+B25+B26+B27+B28+B29</f>
        <v/>
      </c>
    </row>
    <row r="31">
      <c r="A31" t="inlineStr">
        <is>
          <t>NET to Plonk Golf</t>
        </is>
      </c>
      <c r="B31" s="6">
        <f>B23-B30</f>
        <v/>
      </c>
    </row>
    <row r="32">
      <c r="A32" t="inlineStr">
        <is>
          <t>Token cost (venue COGS)</t>
        </is>
      </c>
      <c r="B32" s="6">
        <f>(1+B6)*17612.4</f>
        <v/>
      </c>
    </row>
    <row r="33">
      <c r="A33" t="inlineStr">
        <is>
          <t>NET to venue (online)</t>
        </is>
      </c>
      <c r="B33" s="6">
        <f>B18-B21-B32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2026-04-22T15:50:46Z</dcterms:created>
  <dcterms:modified xsi:type="dcterms:W3CDTF">2026-04-22T15:50:46Z</dcterms:modified>
</cp:coreProperties>
</file>